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-pc/Downloads/"/>
    </mc:Choice>
  </mc:AlternateContent>
  <xr:revisionPtr revIDLastSave="0" documentId="13_ncr:1_{3F8CB08A-BC60-244B-B604-4B7E7E195E92}" xr6:coauthVersionLast="47" xr6:coauthVersionMax="47" xr10:uidLastSave="{00000000-0000-0000-0000-000000000000}"/>
  <bookViews>
    <workbookView xWindow="0" yWindow="500" windowWidth="21940" windowHeight="15820" activeTab="1" xr2:uid="{713E0EAE-3F42-AE46-B36B-5E790961DFDD}"/>
  </bookViews>
  <sheets>
    <sheet name="Cluster Analysis" sheetId="1" r:id="rId1"/>
    <sheet name="Лист3" sheetId="3" r:id="rId2"/>
    <sheet name="Consensus Tre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3" l="1"/>
  <c r="C215" i="1"/>
  <c r="C214" i="1"/>
  <c r="C213" i="1"/>
  <c r="C212" i="1"/>
  <c r="C211" i="1"/>
  <c r="C210" i="1"/>
  <c r="C209" i="1"/>
  <c r="C208" i="1"/>
  <c r="B203" i="1"/>
  <c r="B202" i="1"/>
  <c r="B201" i="1"/>
  <c r="B200" i="1"/>
  <c r="B199" i="1"/>
  <c r="B198" i="1"/>
  <c r="B197" i="1"/>
  <c r="B196" i="1"/>
  <c r="B195" i="1"/>
  <c r="B194" i="1"/>
  <c r="H184" i="1"/>
  <c r="H183" i="1"/>
  <c r="H182" i="1"/>
  <c r="J182" i="1" s="1"/>
  <c r="H181" i="1"/>
  <c r="J181" i="1" s="1"/>
  <c r="H180" i="1"/>
  <c r="H179" i="1"/>
  <c r="J179" i="1" s="1"/>
  <c r="H178" i="1"/>
  <c r="J178" i="1" s="1"/>
  <c r="H177" i="1"/>
  <c r="H176" i="1"/>
  <c r="J176" i="1" s="1"/>
  <c r="H175" i="1"/>
  <c r="J175" i="1" s="1"/>
  <c r="J184" i="1"/>
  <c r="J183" i="1"/>
  <c r="G185" i="1"/>
  <c r="G187" i="1" s="1"/>
  <c r="F185" i="1"/>
  <c r="F187" i="1" s="1"/>
  <c r="E185" i="1"/>
  <c r="E187" i="1" s="1"/>
  <c r="D185" i="1"/>
  <c r="D187" i="1" s="1"/>
  <c r="C185" i="1"/>
  <c r="C187" i="1" s="1"/>
  <c r="B185" i="1"/>
  <c r="B187" i="1" s="1"/>
  <c r="F164" i="1"/>
  <c r="F165" i="1"/>
  <c r="F167" i="1"/>
  <c r="F166" i="1"/>
  <c r="H166" i="1" s="1"/>
  <c r="F163" i="1"/>
  <c r="H163" i="1" s="1"/>
  <c r="F162" i="1"/>
  <c r="H162" i="1" s="1"/>
  <c r="F161" i="1"/>
  <c r="H161" i="1" s="1"/>
  <c r="F160" i="1"/>
  <c r="F159" i="1"/>
  <c r="F158" i="1"/>
  <c r="H158" i="1" s="1"/>
  <c r="H167" i="1"/>
  <c r="H165" i="1"/>
  <c r="H164" i="1"/>
  <c r="H160" i="1"/>
  <c r="H159" i="1"/>
  <c r="C170" i="1"/>
  <c r="E168" i="1"/>
  <c r="E170" i="1" s="1"/>
  <c r="D168" i="1"/>
  <c r="D170" i="1" s="1"/>
  <c r="C168" i="1"/>
  <c r="B168" i="1"/>
  <c r="B170" i="1" s="1"/>
  <c r="C151" i="1"/>
  <c r="C150" i="1"/>
  <c r="E150" i="1" s="1"/>
  <c r="C149" i="1"/>
  <c r="C148" i="1"/>
  <c r="C147" i="1"/>
  <c r="E147" i="1" s="1"/>
  <c r="C146" i="1"/>
  <c r="C145" i="1"/>
  <c r="C144" i="1"/>
  <c r="C143" i="1"/>
  <c r="C142" i="1"/>
  <c r="E151" i="1"/>
  <c r="E143" i="1"/>
  <c r="D152" i="1"/>
  <c r="B152" i="1"/>
  <c r="B154" i="1" s="1"/>
  <c r="B136" i="1"/>
  <c r="G134" i="1"/>
  <c r="G136" i="1" s="1"/>
  <c r="F134" i="1"/>
  <c r="F136" i="1" s="1"/>
  <c r="E134" i="1"/>
  <c r="E136" i="1" s="1"/>
  <c r="D134" i="1"/>
  <c r="D136" i="1" s="1"/>
  <c r="C134" i="1"/>
  <c r="C136" i="1" s="1"/>
  <c r="B134" i="1"/>
  <c r="H133" i="1"/>
  <c r="J133" i="1" s="1"/>
  <c r="H132" i="1"/>
  <c r="J132" i="1" s="1"/>
  <c r="H131" i="1"/>
  <c r="J131" i="1" s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J124" i="1" s="1"/>
  <c r="J116" i="1"/>
  <c r="I116" i="1"/>
  <c r="M114" i="1"/>
  <c r="M116" i="1" s="1"/>
  <c r="L114" i="1"/>
  <c r="L116" i="1" s="1"/>
  <c r="K114" i="1"/>
  <c r="K116" i="1" s="1"/>
  <c r="J114" i="1"/>
  <c r="I114" i="1"/>
  <c r="H114" i="1"/>
  <c r="H116" i="1" s="1"/>
  <c r="G114" i="1"/>
  <c r="G116" i="1" s="1"/>
  <c r="F114" i="1"/>
  <c r="F116" i="1" s="1"/>
  <c r="E114" i="1"/>
  <c r="E116" i="1" s="1"/>
  <c r="D114" i="1"/>
  <c r="D116" i="1" s="1"/>
  <c r="C114" i="1"/>
  <c r="C116" i="1" s="1"/>
  <c r="B114" i="1"/>
  <c r="B116" i="1" s="1"/>
  <c r="O113" i="1"/>
  <c r="N113" i="1"/>
  <c r="P113" i="1" s="1"/>
  <c r="O112" i="1"/>
  <c r="N112" i="1"/>
  <c r="P112" i="1" s="1"/>
  <c r="O111" i="1"/>
  <c r="N111" i="1"/>
  <c r="O110" i="1"/>
  <c r="N110" i="1"/>
  <c r="P110" i="1" s="1"/>
  <c r="O109" i="1"/>
  <c r="N109" i="1"/>
  <c r="O108" i="1"/>
  <c r="N108" i="1"/>
  <c r="P108" i="1" s="1"/>
  <c r="O107" i="1"/>
  <c r="N107" i="1"/>
  <c r="O106" i="1"/>
  <c r="N106" i="1"/>
  <c r="P106" i="1" s="1"/>
  <c r="O105" i="1"/>
  <c r="N105" i="1"/>
  <c r="P105" i="1" s="1"/>
  <c r="O104" i="1"/>
  <c r="N104" i="1"/>
  <c r="P104" i="1" s="1"/>
  <c r="M18" i="2"/>
  <c r="M19" i="2" s="1"/>
  <c r="M21" i="2" s="1"/>
  <c r="L18" i="2"/>
  <c r="L19" i="2" s="1"/>
  <c r="L21" i="2" s="1"/>
  <c r="K18" i="2"/>
  <c r="K19" i="2" s="1"/>
  <c r="K21" i="2" s="1"/>
  <c r="J18" i="2"/>
  <c r="J19" i="2" s="1"/>
  <c r="J21" i="2" s="1"/>
  <c r="I18" i="2"/>
  <c r="I19" i="2" s="1"/>
  <c r="I21" i="2" s="1"/>
  <c r="H18" i="2"/>
  <c r="H19" i="2" s="1"/>
  <c r="H21" i="2" s="1"/>
  <c r="G18" i="2"/>
  <c r="G19" i="2" s="1"/>
  <c r="G21" i="2" s="1"/>
  <c r="F18" i="2"/>
  <c r="F19" i="2" s="1"/>
  <c r="F21" i="2" s="1"/>
  <c r="E18" i="2"/>
  <c r="E19" i="2" s="1"/>
  <c r="E21" i="2" s="1"/>
  <c r="D18" i="2"/>
  <c r="D19" i="2" s="1"/>
  <c r="D21" i="2" s="1"/>
  <c r="C18" i="2"/>
  <c r="C19" i="2" s="1"/>
  <c r="C21" i="2" s="1"/>
  <c r="B18" i="2"/>
  <c r="N17" i="2"/>
  <c r="P17" i="2" s="1"/>
  <c r="N16" i="2"/>
  <c r="P16" i="2" s="1"/>
  <c r="N15" i="2"/>
  <c r="P15" i="2" s="1"/>
  <c r="N14" i="2"/>
  <c r="P14" i="2" s="1"/>
  <c r="E96" i="1"/>
  <c r="F96" i="1" s="1"/>
  <c r="E95" i="1"/>
  <c r="E94" i="1"/>
  <c r="E93" i="1"/>
  <c r="E92" i="1"/>
  <c r="E91" i="1"/>
  <c r="E90" i="1"/>
  <c r="E89" i="1"/>
  <c r="F89" i="1" s="1"/>
  <c r="E88" i="1"/>
  <c r="E87" i="1"/>
  <c r="D96" i="1"/>
  <c r="D95" i="1"/>
  <c r="D94" i="1"/>
  <c r="D93" i="1"/>
  <c r="F93" i="1" s="1"/>
  <c r="D92" i="1"/>
  <c r="F92" i="1" s="1"/>
  <c r="D91" i="1"/>
  <c r="F91" i="1" s="1"/>
  <c r="D90" i="1"/>
  <c r="F90" i="1" s="1"/>
  <c r="D89" i="1"/>
  <c r="D88" i="1"/>
  <c r="D87" i="1"/>
  <c r="F88" i="1"/>
  <c r="C97" i="1"/>
  <c r="C99" i="1" s="1"/>
  <c r="B97" i="1"/>
  <c r="B99" i="1" s="1"/>
  <c r="F80" i="1"/>
  <c r="F79" i="1"/>
  <c r="F78" i="1"/>
  <c r="F77" i="1"/>
  <c r="F76" i="1"/>
  <c r="F75" i="1"/>
  <c r="F74" i="1"/>
  <c r="F73" i="1"/>
  <c r="F72" i="1"/>
  <c r="F71" i="1"/>
  <c r="E80" i="1"/>
  <c r="G80" i="1" s="1"/>
  <c r="E79" i="1"/>
  <c r="E78" i="1"/>
  <c r="E77" i="1"/>
  <c r="G77" i="1" s="1"/>
  <c r="E76" i="1"/>
  <c r="G76" i="1" s="1"/>
  <c r="E75" i="1"/>
  <c r="E74" i="1"/>
  <c r="E73" i="1"/>
  <c r="E72" i="1"/>
  <c r="E71" i="1"/>
  <c r="G79" i="1"/>
  <c r="D81" i="1"/>
  <c r="D83" i="1" s="1"/>
  <c r="C81" i="1"/>
  <c r="C83" i="1" s="1"/>
  <c r="B81" i="1"/>
  <c r="B83" i="1" s="1"/>
  <c r="M6" i="2"/>
  <c r="L6" i="2"/>
  <c r="L7" i="2" s="1"/>
  <c r="L9" i="2" s="1"/>
  <c r="K6" i="2"/>
  <c r="K7" i="2" s="1"/>
  <c r="K9" i="2" s="1"/>
  <c r="J6" i="2"/>
  <c r="J7" i="2" s="1"/>
  <c r="J9" i="2" s="1"/>
  <c r="I6" i="2"/>
  <c r="I7" i="2" s="1"/>
  <c r="I9" i="2" s="1"/>
  <c r="H6" i="2"/>
  <c r="H7" i="2" s="1"/>
  <c r="H9" i="2" s="1"/>
  <c r="G6" i="2"/>
  <c r="G7" i="2" s="1"/>
  <c r="G9" i="2" s="1"/>
  <c r="F6" i="2"/>
  <c r="F7" i="2" s="1"/>
  <c r="F9" i="2" s="1"/>
  <c r="E6" i="2"/>
  <c r="D6" i="2"/>
  <c r="C6" i="2"/>
  <c r="C7" i="2" s="1"/>
  <c r="C9" i="2" s="1"/>
  <c r="B6" i="2"/>
  <c r="B7" i="2" s="1"/>
  <c r="B9" i="2" s="1"/>
  <c r="N5" i="2"/>
  <c r="P5" i="2" s="1"/>
  <c r="N4" i="2"/>
  <c r="P4" i="2" s="1"/>
  <c r="N3" i="2"/>
  <c r="P3" i="2" s="1"/>
  <c r="M7" i="2"/>
  <c r="M9" i="2" s="1"/>
  <c r="E7" i="2"/>
  <c r="E9" i="2" s="1"/>
  <c r="D7" i="2"/>
  <c r="D9" i="2" s="1"/>
  <c r="N2" i="2"/>
  <c r="P2" i="2" s="1"/>
  <c r="H62" i="1"/>
  <c r="J62" i="1" s="1"/>
  <c r="H61" i="1"/>
  <c r="J61" i="1" s="1"/>
  <c r="H60" i="1"/>
  <c r="H59" i="1"/>
  <c r="H58" i="1"/>
  <c r="H57" i="1"/>
  <c r="H56" i="1"/>
  <c r="J56" i="1" s="1"/>
  <c r="H55" i="1"/>
  <c r="J55" i="1" s="1"/>
  <c r="H54" i="1"/>
  <c r="J54" i="1" s="1"/>
  <c r="H53" i="1"/>
  <c r="J60" i="1"/>
  <c r="J59" i="1"/>
  <c r="J58" i="1"/>
  <c r="J57" i="1"/>
  <c r="J53" i="1"/>
  <c r="G63" i="1"/>
  <c r="G65" i="1" s="1"/>
  <c r="F63" i="1"/>
  <c r="F65" i="1" s="1"/>
  <c r="E63" i="1"/>
  <c r="E65" i="1" s="1"/>
  <c r="D63" i="1"/>
  <c r="D65" i="1" s="1"/>
  <c r="C63" i="1"/>
  <c r="C65" i="1" s="1"/>
  <c r="B63" i="1"/>
  <c r="B65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J46" i="1" s="1"/>
  <c r="G46" i="1"/>
  <c r="G48" i="1" s="1"/>
  <c r="F46" i="1"/>
  <c r="F48" i="1" s="1"/>
  <c r="E46" i="1"/>
  <c r="E48" i="1" s="1"/>
  <c r="D46" i="1"/>
  <c r="D48" i="1" s="1"/>
  <c r="C46" i="1"/>
  <c r="C48" i="1" s="1"/>
  <c r="B46" i="1"/>
  <c r="B48" i="1" s="1"/>
  <c r="H29" i="1"/>
  <c r="H28" i="1"/>
  <c r="H27" i="1"/>
  <c r="H26" i="1"/>
  <c r="J26" i="1" s="1"/>
  <c r="H25" i="1"/>
  <c r="J25" i="1" s="1"/>
  <c r="H24" i="1"/>
  <c r="J24" i="1" s="1"/>
  <c r="H23" i="1"/>
  <c r="H22" i="1"/>
  <c r="J22" i="1" s="1"/>
  <c r="H21" i="1"/>
  <c r="H20" i="1"/>
  <c r="J20" i="1" s="1"/>
  <c r="E32" i="1"/>
  <c r="D32" i="1"/>
  <c r="C32" i="1"/>
  <c r="G30" i="1"/>
  <c r="G32" i="1" s="1"/>
  <c r="F30" i="1"/>
  <c r="F32" i="1" s="1"/>
  <c r="E30" i="1"/>
  <c r="D30" i="1"/>
  <c r="C30" i="1"/>
  <c r="B30" i="1"/>
  <c r="B32" i="1" s="1"/>
  <c r="J29" i="1"/>
  <c r="J28" i="1"/>
  <c r="J27" i="1"/>
  <c r="J23" i="1"/>
  <c r="P7" i="1"/>
  <c r="P6" i="1"/>
  <c r="P5" i="1"/>
  <c r="P4" i="1"/>
  <c r="K14" i="1"/>
  <c r="J14" i="1"/>
  <c r="I14" i="1"/>
  <c r="H14" i="1"/>
  <c r="O11" i="1"/>
  <c r="O10" i="1"/>
  <c r="O9" i="1"/>
  <c r="O8" i="1"/>
  <c r="O7" i="1"/>
  <c r="O6" i="1"/>
  <c r="O5" i="1"/>
  <c r="O4" i="1"/>
  <c r="O3" i="1"/>
  <c r="O2" i="1"/>
  <c r="N11" i="1"/>
  <c r="P11" i="1" s="1"/>
  <c r="N10" i="1"/>
  <c r="N9" i="1"/>
  <c r="P9" i="1" s="1"/>
  <c r="N8" i="1"/>
  <c r="P8" i="1" s="1"/>
  <c r="N7" i="1"/>
  <c r="N6" i="1"/>
  <c r="N5" i="1"/>
  <c r="N4" i="1"/>
  <c r="N3" i="1"/>
  <c r="P3" i="1" s="1"/>
  <c r="N2" i="1"/>
  <c r="P2" i="1" s="1"/>
  <c r="M12" i="1"/>
  <c r="M14" i="1" s="1"/>
  <c r="L12" i="1"/>
  <c r="L14" i="1" s="1"/>
  <c r="K12" i="1"/>
  <c r="J12" i="1"/>
  <c r="I12" i="1"/>
  <c r="H12" i="1"/>
  <c r="G12" i="1"/>
  <c r="G14" i="1" s="1"/>
  <c r="F12" i="1"/>
  <c r="F14" i="1" s="1"/>
  <c r="E12" i="1"/>
  <c r="E14" i="1" s="1"/>
  <c r="D12" i="1"/>
  <c r="D14" i="1" s="1"/>
  <c r="C12" i="1"/>
  <c r="C14" i="1" s="1"/>
  <c r="B12" i="1"/>
  <c r="B14" i="1" s="1"/>
  <c r="P10" i="1" l="1"/>
  <c r="P107" i="1"/>
  <c r="G73" i="1"/>
  <c r="G74" i="1"/>
  <c r="J177" i="1"/>
  <c r="J185" i="1" s="1"/>
  <c r="J180" i="1"/>
  <c r="E146" i="1"/>
  <c r="C152" i="1"/>
  <c r="E144" i="1"/>
  <c r="E148" i="1"/>
  <c r="E145" i="1"/>
  <c r="E149" i="1"/>
  <c r="E142" i="1"/>
  <c r="P111" i="1"/>
  <c r="P109" i="1"/>
  <c r="N18" i="2"/>
  <c r="P18" i="2" s="1"/>
  <c r="B19" i="2"/>
  <c r="B21" i="2" s="1"/>
  <c r="F94" i="1"/>
  <c r="F87" i="1"/>
  <c r="F95" i="1"/>
  <c r="G72" i="1"/>
  <c r="G75" i="1"/>
  <c r="G78" i="1"/>
  <c r="G71" i="1"/>
  <c r="N6" i="2"/>
  <c r="P6" i="2" s="1"/>
  <c r="J21" i="1"/>
</calcChain>
</file>

<file path=xl/sharedStrings.xml><?xml version="1.0" encoding="utf-8"?>
<sst xmlns="http://schemas.openxmlformats.org/spreadsheetml/2006/main" count="388" uniqueCount="139">
  <si>
    <t>Классика</t>
  </si>
  <si>
    <t>Косинус</t>
  </si>
  <si>
    <t>Эдер</t>
  </si>
  <si>
    <t>Антоний&lt;=1</t>
  </si>
  <si>
    <t>Антоний&lt;=2</t>
  </si>
  <si>
    <t>Симеон&lt;=1</t>
  </si>
  <si>
    <t>А-С=1</t>
  </si>
  <si>
    <t>Варлаам=0</t>
  </si>
  <si>
    <t>Варлаам&lt;=1</t>
  </si>
  <si>
    <t>Палама=0</t>
  </si>
  <si>
    <t>Палама&lt;=1</t>
  </si>
  <si>
    <t>Никифор=0</t>
  </si>
  <si>
    <t>Никифор&lt;=1</t>
  </si>
  <si>
    <t>А-С&lt;=2</t>
  </si>
  <si>
    <t>А-С&lt;=3</t>
  </si>
  <si>
    <t>Orig</t>
  </si>
  <si>
    <t>Lemma</t>
  </si>
  <si>
    <t>сумма</t>
  </si>
  <si>
    <t>макс</t>
  </si>
  <si>
    <t>%</t>
  </si>
  <si>
    <t>смазанно</t>
  </si>
  <si>
    <t>класс</t>
  </si>
  <si>
    <t>лемма</t>
  </si>
  <si>
    <t>эдер</t>
  </si>
  <si>
    <t>косинус</t>
  </si>
  <si>
    <t>Симеон&lt;=2</t>
  </si>
  <si>
    <t>Н-С&lt;=3</t>
  </si>
  <si>
    <t>Автор</t>
  </si>
  <si>
    <t>Название</t>
  </si>
  <si>
    <t>Издание</t>
  </si>
  <si>
    <t>Век</t>
  </si>
  <si>
    <t>Количество слов</t>
  </si>
  <si>
    <t>свт. Григорий Палама</t>
  </si>
  <si>
    <t>Письмо к Варлааму первое</t>
  </si>
  <si>
    <t>Письмо к Варлааму второе</t>
  </si>
  <si>
    <t>Варлаам Калабрийский</t>
  </si>
  <si>
    <t>Письмо к свт. Гргорию Паламе первое</t>
  </si>
  <si>
    <t>Письмо к свт. Гргорию Паламе второе</t>
  </si>
  <si>
    <t>Григорий Акиндин</t>
  </si>
  <si>
    <t>Письма 5, 7-12</t>
  </si>
  <si>
    <t>Сер. XIV в.</t>
  </si>
  <si>
    <t>Шифр на графиках</t>
  </si>
  <si>
    <t>Akindynos_Episulae</t>
  </si>
  <si>
    <t>Barlaam_Epistula1Pal</t>
  </si>
  <si>
    <t>Barlaam_Epistula2Pal</t>
  </si>
  <si>
    <t>Palamas_Epistula1Barlaam</t>
  </si>
  <si>
    <t>Palamas_Epistula2Barlaam</t>
  </si>
  <si>
    <t>H. Gregoire, Saint Demetrianos, eveque de Chytri (ile de Chypre), BZ 16 (1907), 204-40.</t>
  </si>
  <si>
    <t>AnonymousX_VitaDemetriani</t>
  </si>
  <si>
    <t>Аноним X в.</t>
  </si>
  <si>
    <t>Житие свт. Димитриана Хитридского</t>
  </si>
  <si>
    <t>Пер.пол X в.</t>
  </si>
  <si>
    <t>Никифор Философ</t>
  </si>
  <si>
    <t>Похвала патр. Антонию Кавлею</t>
  </si>
  <si>
    <t>X в.</t>
  </si>
  <si>
    <t>NikephorosPhilosopher_VitaAntoniiKaulea</t>
  </si>
  <si>
    <t>Anonymous_VitaDavidi</t>
  </si>
  <si>
    <t>863-865</t>
  </si>
  <si>
    <t>Аноним IX в.</t>
  </si>
  <si>
    <t>Житие Давида, Симеона и Георгия Митилинских</t>
  </si>
  <si>
    <t>Житие Илии Гелиопольского</t>
  </si>
  <si>
    <t>IX-X вв.</t>
  </si>
  <si>
    <t>Аноним IX-X вв.</t>
  </si>
  <si>
    <t>Житие Ирины Хрисовалантской</t>
  </si>
  <si>
    <t>976–1025</t>
  </si>
  <si>
    <t>Аноним X-XI вв.</t>
  </si>
  <si>
    <t>AnonymousX.XI_VitaEirene</t>
  </si>
  <si>
    <t>Житие Илии Нового</t>
  </si>
  <si>
    <t>AnonymousXa_VitaEliiYounger</t>
  </si>
  <si>
    <t>Житие Илии Спелеота</t>
  </si>
  <si>
    <t>AASS Sept. III: 843-88. Latin supplement.</t>
  </si>
  <si>
    <t>Вт.пол X в.</t>
  </si>
  <si>
    <t>AnonymousXb_VitaEliiSpelaioti</t>
  </si>
  <si>
    <t>AnonymousXI_VitaKosmasandDamasceni</t>
  </si>
  <si>
    <t>Житие Косьмы Песнописца и Иоанна Дамаскина</t>
  </si>
  <si>
    <t>Аноним XI в.</t>
  </si>
  <si>
    <t>прп. Неофит Затворник</t>
  </si>
  <si>
    <t>NeophytusInclusus_LiberCatechesium</t>
  </si>
  <si>
    <t>IoannesOxeites_DeMonasteriis</t>
  </si>
  <si>
    <t>Иоанн Оксит, патр. Александрийский</t>
  </si>
  <si>
    <t>XI в.</t>
  </si>
  <si>
    <t>О монастырях</t>
  </si>
  <si>
    <t>Иоанн Мавропод</t>
  </si>
  <si>
    <t>JoannesMauropus_Orationes</t>
  </si>
  <si>
    <t>X-XII вв.</t>
  </si>
  <si>
    <t>Иоанн, патр. Иерусалимский</t>
  </si>
  <si>
    <t>Житие Иоанна Дамаскина</t>
  </si>
  <si>
    <t>X-XI вв.</t>
  </si>
  <si>
    <t>JohnXI_VitaDamasceni</t>
  </si>
  <si>
    <t>прп. Симеон Новый Богослов</t>
  </si>
  <si>
    <t>Огласительные поучения 1-6</t>
  </si>
  <si>
    <t>SymeonNeotheologus_Catecheses1-6</t>
  </si>
  <si>
    <t>SymeonNeotheologus_Catecheses7-14</t>
  </si>
  <si>
    <t>Огласительные поучения 7-14</t>
  </si>
  <si>
    <t>Послание об исповеди</t>
  </si>
  <si>
    <t>SymeonNeotheologus_EpistulaDeConfessione</t>
  </si>
  <si>
    <t>Никита Стифат</t>
  </si>
  <si>
    <t>Огласительные поучения</t>
  </si>
  <si>
    <t>Житие Симеона Нового Богослова</t>
  </si>
  <si>
    <t>NicetasStethatus_VitaSymeonis</t>
  </si>
  <si>
    <t>NicetasStethatus_Orationes</t>
  </si>
  <si>
    <t>прп. Иоанн Лествичник</t>
  </si>
  <si>
    <t>Слово особенное к пастырю</t>
  </si>
  <si>
    <t>V-VI вв.</t>
  </si>
  <si>
    <t>JoannesClimacus_LiberAdPastorem</t>
  </si>
  <si>
    <t>прп. Феодор Студит</t>
  </si>
  <si>
    <t>FeodorusStudita_Catecheses</t>
  </si>
  <si>
    <t>Антоний Студит</t>
  </si>
  <si>
    <t>Антоний Студит (предположительно)</t>
  </si>
  <si>
    <t>прп. Симеон Новый Богослов (предположительно)</t>
  </si>
  <si>
    <t>Antonius_Varia</t>
  </si>
  <si>
    <t>Antonius_Catecheses</t>
  </si>
  <si>
    <t>Два письма, проповедь и молитва</t>
  </si>
  <si>
    <t>Проповедь на первую субботу Великого Поста</t>
  </si>
  <si>
    <t>Проповедь 10 (о поясе диаконов) и 7 (об иудеях)</t>
  </si>
  <si>
    <t>Огласительное поучение (о внимании к себе)</t>
  </si>
  <si>
    <t>Огласительные поучения 3, 4, 29 и 32</t>
  </si>
  <si>
    <t>Bollig I., Lagarde P.de. Iohannis Euchaitorum Metropolitae quae in Codice Vaticano Graeco 676 supersunt. Göttingen: Dieterich, 1882.</t>
  </si>
  <si>
    <t>Constantinides-Hero A. Letters of Gregory Akindynos. Corpus Fontium Historiae Byzantinae. Series Washingtonensis 21. Washington, D.C.: Dumbarton Oaks, 1983.</t>
  </si>
  <si>
    <t>Creazzo T. Joannis Oxeitae oratio de monasteriis laicis non tradendis. Quaterni della Rivista di Bizantinistica 8. Spoleto: Fondazione Centro Italiano di studi sull'alto medioevo, 2004.</t>
  </si>
  <si>
    <t>Darrouzès J. Nicétas Stéthatos, Opuscules et Lettres. Sources chrétiennes 81. Paris: Éditions du Cerf, 1961.</t>
  </si>
  <si>
    <t>Hausherr I. Un grand mystique byzantin. Vie de Syméon le Nouveau Théologien par Nicétas Stéthatos. Orientalia Christiana 12. Rome: Pontificum Institutum Orientalium Studiorum, 1928.</t>
  </si>
  <si>
    <t>Leone P.L.M. L’Encomium in patriarcham Antonium II Cauleam del filosofo e restore Niceforo. Orpheus: rivista di umanità classica e cristiana 10 (1989): 404–429.</t>
  </si>
  <si>
    <t>Liber ad pastorem (Πρὸς τὸν ποιμένα λόγος) // J.-P. Migne (ed.) Patrologiae cursus completus (Series Graeca) 88. Paris: Migne, 1857–1866. Col. 1165–1209.</t>
  </si>
  <si>
    <t>Migne PG. Tom. 94, col. 429–490.</t>
  </si>
  <si>
    <t>Meyendorff J. Ἐπιστολαὶ πρὸς Ἀκίνδυνον καὶ Βαρλαάμ // P.K. Chrestou (ed.) Γρηγορίου τοῦ Παλαμᾶ συγγράμματα. Vol. 1. Θεσσαλονίκη, 1962.</t>
  </si>
  <si>
    <t>Papadopoulos-Kerameus A. Analekta hierosolymitikes stachyologias IV. 271–302.</t>
  </si>
  <si>
    <t>Papadopoulos-Kerameus A. Sylloge Palaistines kai Syriakes Hagiologias XIX // Православный палестинский сборник 1907. 57. P. 42–59.</t>
  </si>
  <si>
    <t>Rosenqvist J.O. The Life of St. Irene Abbess of Chrysobalanton. Uppsala, 1986.</t>
  </si>
  <si>
    <t>Schirò G. Barlaam Calabro, Epistole Greche. Testi e Monumenti 1. Palermo: Istituto Siciliano di studi bizantini e neoellenici, 1954.</t>
  </si>
  <si>
    <t>Sotiroudis P. Βίβλος τῶν κατηχήσεων // Tsames D.G., Zacharopoulos N., Oikonomou C., Karabidopoulos I. (eds.) Ἁγίου Νεοφύτου τοῦ Ἐγκλείστου Συγγράμματα. Vol. 2. Πάφος: Ἱερὰ Βασιλικὴ καὶ Σταυροπηγιακὴ Μονὴ Ἁγίου Νεοφύτου, 1998. Σελ. 189–431.</t>
  </si>
  <si>
    <t>Syméon le Nouveau Théologien. Catéchèses. T. 1–3 / édition critique par B. Krivochéine, traduction par J. Paramelle. Paris: Éditions du Cerf, 1963. (SC; vol. 96, 104, 113).</t>
  </si>
  <si>
    <t>Taibbi G.R. Vita di nt' Elia il Giovane. Palermo, 1962.</t>
  </si>
  <si>
    <t>Van den Gheyn J. Acta graeca ss. Davidis, Symeonis et Georgii Mitylenae in insula Lesbo // Analecta Bollandiana. 1899. Vol. 18. P. 209–259.</t>
  </si>
  <si>
    <t>Turner H.J.M. The Epistles of St Symeon the New Theologian (Oxford Early Christian Texts). Oxford : Oxford University Press, 2009.</t>
  </si>
  <si>
    <t>XII-XIII вв.</t>
  </si>
  <si>
    <t>Papadopoulos-Kerameus A. Theodoros Studites, Μεγάλη κατήχησις. St. Petersburg: Kirschbaum, 1904. P. 1–931.</t>
  </si>
  <si>
    <t>Delouis O., Leroy J. Quelques inédits attribués à Antoine III Stoudite // Revue des études byzantines. 2004. Vol. 62. P. 33–69.</t>
  </si>
  <si>
    <t>Delouis O., Leroy J. Quelques inédits attribués à Antoine III Stoudite // Revue des études byzantines. 2004. Vol. 62. P. 33–69. Sternbach L. Λόγος ἀναγνωσθεὶς ἐν Βλαχέρναις παρὰ τοῦ ταπεινοῦ Στουδίτου μοναχοῦ Ἀντωνίου τοῦ Τριψύχου. In: F. Makk (ed.) Traduction et commentaire de l'homélie écrite probablement par Théodore le Syncelle sur le siège de Constantinople en 626. Opuscula Byzantina 3. Szeged, Hungary, 1975: 113–117.Darrouzès J. Épistoliers byzantins du Xe siècle. Archives de l'Orient Chrétien 6. Paris: Institut Français d'Études Byzantines, 1960.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</si>
</sst>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2E0A03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1" applyFont="1"/>
    <xf numFmtId="0" fontId="2" fillId="0" borderId="2" xfId="0" applyFont="1" applyBorder="1"/>
    <xf numFmtId="0" fontId="2" fillId="0" borderId="3" xfId="0" applyFont="1" applyBorder="1"/>
    <xf numFmtId="9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516-C33E-6D45-92D5-B194BEA9F3F2}">
  <dimension ref="A1:T217"/>
  <sheetViews>
    <sheetView topLeftCell="A184" workbookViewId="0">
      <selection activeCell="C216" sqref="C216"/>
    </sheetView>
  </sheetViews>
  <sheetFormatPr baseColWidth="10" defaultRowHeight="16" x14ac:dyDescent="0.2"/>
  <sheetData>
    <row r="1" spans="1:20" ht="17" thickBot="1" x14ac:dyDescent="0.25">
      <c r="B1" t="s">
        <v>3</v>
      </c>
      <c r="C1" t="s">
        <v>4</v>
      </c>
      <c r="D1" s="1" t="s">
        <v>5</v>
      </c>
      <c r="E1" t="s">
        <v>6</v>
      </c>
      <c r="F1" t="s">
        <v>13</v>
      </c>
      <c r="G1" s="1" t="s">
        <v>14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17</v>
      </c>
      <c r="O1" t="s">
        <v>18</v>
      </c>
      <c r="P1" t="s">
        <v>19</v>
      </c>
    </row>
    <row r="2" spans="1:20" x14ac:dyDescent="0.2">
      <c r="A2" t="s">
        <v>0</v>
      </c>
      <c r="B2" s="2">
        <v>7</v>
      </c>
      <c r="C2" s="3">
        <v>7</v>
      </c>
      <c r="D2" s="3">
        <v>6</v>
      </c>
      <c r="E2" s="3">
        <v>3</v>
      </c>
      <c r="F2" s="3">
        <v>4</v>
      </c>
      <c r="G2" s="3">
        <v>6</v>
      </c>
      <c r="H2" s="3">
        <v>4</v>
      </c>
      <c r="I2" s="3">
        <v>10</v>
      </c>
      <c r="J2" s="3">
        <v>9</v>
      </c>
      <c r="K2" s="3">
        <v>9</v>
      </c>
      <c r="L2" s="3">
        <v>7</v>
      </c>
      <c r="M2" s="4">
        <v>7</v>
      </c>
      <c r="N2">
        <f>SUM(B2:M2)</f>
        <v>79</v>
      </c>
      <c r="O2">
        <f>12*10</f>
        <v>120</v>
      </c>
      <c r="P2" s="10">
        <f>N2/O2</f>
        <v>0.65833333333333333</v>
      </c>
    </row>
    <row r="3" spans="1:20" x14ac:dyDescent="0.2">
      <c r="A3" t="s">
        <v>1</v>
      </c>
      <c r="B3" s="5">
        <v>3</v>
      </c>
      <c r="C3">
        <v>7</v>
      </c>
      <c r="D3">
        <v>7</v>
      </c>
      <c r="E3">
        <v>1</v>
      </c>
      <c r="F3">
        <v>4</v>
      </c>
      <c r="G3">
        <v>9</v>
      </c>
      <c r="H3">
        <v>4</v>
      </c>
      <c r="I3">
        <v>6</v>
      </c>
      <c r="J3">
        <v>4</v>
      </c>
      <c r="K3">
        <v>9</v>
      </c>
      <c r="L3">
        <v>8</v>
      </c>
      <c r="M3" s="6">
        <v>9</v>
      </c>
      <c r="N3">
        <f t="shared" ref="N3:N11" si="0">SUM(B3:M3)</f>
        <v>71</v>
      </c>
      <c r="O3">
        <f>12*10</f>
        <v>120</v>
      </c>
      <c r="P3" s="10">
        <f t="shared" ref="P3:P11" si="1">N3/O3</f>
        <v>0.59166666666666667</v>
      </c>
    </row>
    <row r="4" spans="1:20" x14ac:dyDescent="0.2">
      <c r="A4" t="s">
        <v>2</v>
      </c>
      <c r="B4" s="5">
        <v>7</v>
      </c>
      <c r="C4">
        <v>9</v>
      </c>
      <c r="D4">
        <v>7</v>
      </c>
      <c r="E4">
        <v>3</v>
      </c>
      <c r="F4">
        <v>3</v>
      </c>
      <c r="G4">
        <v>6</v>
      </c>
      <c r="H4">
        <v>3</v>
      </c>
      <c r="I4">
        <v>8</v>
      </c>
      <c r="J4">
        <v>5</v>
      </c>
      <c r="K4">
        <v>6</v>
      </c>
      <c r="L4">
        <v>7</v>
      </c>
      <c r="M4" s="6">
        <v>9</v>
      </c>
      <c r="N4">
        <f t="shared" si="0"/>
        <v>73</v>
      </c>
      <c r="O4">
        <f>12*10</f>
        <v>120</v>
      </c>
      <c r="P4" s="10">
        <f t="shared" si="1"/>
        <v>0.60833333333333328</v>
      </c>
    </row>
    <row r="5" spans="1:20" x14ac:dyDescent="0.2">
      <c r="A5">
        <v>150</v>
      </c>
      <c r="B5" s="5">
        <v>5</v>
      </c>
      <c r="C5">
        <v>6</v>
      </c>
      <c r="D5">
        <v>6</v>
      </c>
      <c r="E5">
        <v>0</v>
      </c>
      <c r="F5">
        <v>1</v>
      </c>
      <c r="G5">
        <v>2</v>
      </c>
      <c r="H5">
        <v>0</v>
      </c>
      <c r="I5">
        <v>4</v>
      </c>
      <c r="J5">
        <v>2</v>
      </c>
      <c r="K5">
        <v>3</v>
      </c>
      <c r="L5">
        <v>0</v>
      </c>
      <c r="M5" s="6">
        <v>3</v>
      </c>
      <c r="N5">
        <f t="shared" si="0"/>
        <v>32</v>
      </c>
      <c r="O5">
        <f>12*6</f>
        <v>72</v>
      </c>
      <c r="P5" s="10">
        <f t="shared" si="1"/>
        <v>0.44444444444444442</v>
      </c>
    </row>
    <row r="6" spans="1:20" x14ac:dyDescent="0.2">
      <c r="A6">
        <v>250</v>
      </c>
      <c r="B6" s="5">
        <v>4</v>
      </c>
      <c r="C6">
        <v>6</v>
      </c>
      <c r="D6">
        <v>6</v>
      </c>
      <c r="E6">
        <v>0</v>
      </c>
      <c r="F6">
        <v>0</v>
      </c>
      <c r="G6">
        <v>3</v>
      </c>
      <c r="H6">
        <v>2</v>
      </c>
      <c r="I6">
        <v>5</v>
      </c>
      <c r="J6">
        <v>4</v>
      </c>
      <c r="K6">
        <v>5</v>
      </c>
      <c r="L6">
        <v>4</v>
      </c>
      <c r="M6" s="6">
        <v>4</v>
      </c>
      <c r="N6">
        <f t="shared" si="0"/>
        <v>43</v>
      </c>
      <c r="O6">
        <f>12*6</f>
        <v>72</v>
      </c>
      <c r="P6" s="10">
        <f t="shared" si="1"/>
        <v>0.59722222222222221</v>
      </c>
    </row>
    <row r="7" spans="1:20" x14ac:dyDescent="0.2">
      <c r="A7">
        <v>500</v>
      </c>
      <c r="B7" s="5">
        <v>2</v>
      </c>
      <c r="C7">
        <v>3</v>
      </c>
      <c r="D7">
        <v>3</v>
      </c>
      <c r="E7">
        <v>3</v>
      </c>
      <c r="F7">
        <v>3</v>
      </c>
      <c r="G7">
        <v>4</v>
      </c>
      <c r="H7">
        <v>3</v>
      </c>
      <c r="I7">
        <v>5</v>
      </c>
      <c r="J7">
        <v>3</v>
      </c>
      <c r="K7">
        <v>5</v>
      </c>
      <c r="L7">
        <v>6</v>
      </c>
      <c r="M7" s="6">
        <v>6</v>
      </c>
      <c r="N7">
        <f t="shared" si="0"/>
        <v>46</v>
      </c>
      <c r="O7">
        <f>12*6</f>
        <v>72</v>
      </c>
      <c r="P7" s="10">
        <f t="shared" si="1"/>
        <v>0.63888888888888884</v>
      </c>
    </row>
    <row r="8" spans="1:20" x14ac:dyDescent="0.2">
      <c r="A8">
        <v>750</v>
      </c>
      <c r="B8" s="5">
        <v>2</v>
      </c>
      <c r="C8">
        <v>4</v>
      </c>
      <c r="D8">
        <v>3</v>
      </c>
      <c r="E8">
        <v>2</v>
      </c>
      <c r="F8">
        <v>3</v>
      </c>
      <c r="G8">
        <v>6</v>
      </c>
      <c r="H8">
        <v>4</v>
      </c>
      <c r="I8">
        <v>6</v>
      </c>
      <c r="J8">
        <v>5</v>
      </c>
      <c r="K8">
        <v>6</v>
      </c>
      <c r="L8">
        <v>6</v>
      </c>
      <c r="M8" s="6">
        <v>6</v>
      </c>
      <c r="N8">
        <f t="shared" si="0"/>
        <v>53</v>
      </c>
      <c r="O8">
        <f>12*6</f>
        <v>72</v>
      </c>
      <c r="P8" s="10">
        <f t="shared" si="1"/>
        <v>0.73611111111111116</v>
      </c>
      <c r="R8">
        <v>750</v>
      </c>
      <c r="S8" t="s">
        <v>21</v>
      </c>
      <c r="T8" t="s">
        <v>22</v>
      </c>
    </row>
    <row r="9" spans="1:20" x14ac:dyDescent="0.2">
      <c r="A9">
        <v>1000</v>
      </c>
      <c r="B9" s="5">
        <v>4</v>
      </c>
      <c r="C9">
        <v>4</v>
      </c>
      <c r="D9">
        <v>2</v>
      </c>
      <c r="E9">
        <v>2</v>
      </c>
      <c r="F9">
        <v>4</v>
      </c>
      <c r="G9">
        <v>6</v>
      </c>
      <c r="H9">
        <v>2</v>
      </c>
      <c r="I9">
        <v>4</v>
      </c>
      <c r="J9">
        <v>5</v>
      </c>
      <c r="K9">
        <v>6</v>
      </c>
      <c r="L9">
        <v>6</v>
      </c>
      <c r="M9" s="6">
        <v>6</v>
      </c>
      <c r="N9">
        <f t="shared" si="0"/>
        <v>51</v>
      </c>
      <c r="O9">
        <f>12*6</f>
        <v>72</v>
      </c>
      <c r="P9" s="10">
        <f t="shared" si="1"/>
        <v>0.70833333333333337</v>
      </c>
    </row>
    <row r="10" spans="1:20" x14ac:dyDescent="0.2">
      <c r="A10" t="s">
        <v>15</v>
      </c>
      <c r="B10" s="5">
        <v>10</v>
      </c>
      <c r="C10">
        <v>12</v>
      </c>
      <c r="D10">
        <v>14</v>
      </c>
      <c r="E10">
        <v>0</v>
      </c>
      <c r="F10">
        <v>2</v>
      </c>
      <c r="G10">
        <v>9</v>
      </c>
      <c r="H10">
        <v>1</v>
      </c>
      <c r="I10">
        <v>10</v>
      </c>
      <c r="J10">
        <v>5</v>
      </c>
      <c r="K10">
        <v>11</v>
      </c>
      <c r="L10">
        <v>10</v>
      </c>
      <c r="M10" s="6">
        <v>12</v>
      </c>
      <c r="N10">
        <f t="shared" si="0"/>
        <v>96</v>
      </c>
      <c r="O10">
        <f>12*15</f>
        <v>180</v>
      </c>
      <c r="P10" s="10">
        <f t="shared" si="1"/>
        <v>0.53333333333333333</v>
      </c>
    </row>
    <row r="11" spans="1:20" ht="17" thickBot="1" x14ac:dyDescent="0.25">
      <c r="A11" t="s">
        <v>16</v>
      </c>
      <c r="B11" s="7">
        <v>7</v>
      </c>
      <c r="C11" s="8">
        <v>11</v>
      </c>
      <c r="D11" s="8">
        <v>6</v>
      </c>
      <c r="E11" s="8">
        <v>7</v>
      </c>
      <c r="F11" s="8">
        <v>9</v>
      </c>
      <c r="G11" s="8">
        <v>12</v>
      </c>
      <c r="H11" s="8">
        <v>10</v>
      </c>
      <c r="I11" s="8">
        <v>14</v>
      </c>
      <c r="J11" s="8">
        <v>14</v>
      </c>
      <c r="K11" s="8">
        <v>14</v>
      </c>
      <c r="L11" s="8">
        <v>12</v>
      </c>
      <c r="M11" s="9">
        <v>13</v>
      </c>
      <c r="N11">
        <f t="shared" si="0"/>
        <v>129</v>
      </c>
      <c r="O11">
        <f>12*15</f>
        <v>180</v>
      </c>
      <c r="P11" s="10">
        <f t="shared" si="1"/>
        <v>0.71666666666666667</v>
      </c>
    </row>
    <row r="12" spans="1:20" x14ac:dyDescent="0.2">
      <c r="A12" t="s">
        <v>17</v>
      </c>
      <c r="B12">
        <f>SUM(B2:B11)</f>
        <v>51</v>
      </c>
      <c r="C12">
        <f t="shared" ref="C12:M12" si="2">SUM(C2:C11)</f>
        <v>69</v>
      </c>
      <c r="D12">
        <f t="shared" si="2"/>
        <v>60</v>
      </c>
      <c r="E12">
        <f t="shared" si="2"/>
        <v>21</v>
      </c>
      <c r="F12">
        <f t="shared" si="2"/>
        <v>33</v>
      </c>
      <c r="G12">
        <f t="shared" si="2"/>
        <v>63</v>
      </c>
      <c r="H12">
        <f t="shared" si="2"/>
        <v>33</v>
      </c>
      <c r="I12">
        <f t="shared" si="2"/>
        <v>72</v>
      </c>
      <c r="J12">
        <f t="shared" si="2"/>
        <v>56</v>
      </c>
      <c r="K12">
        <f t="shared" si="2"/>
        <v>74</v>
      </c>
      <c r="L12">
        <f t="shared" si="2"/>
        <v>66</v>
      </c>
      <c r="M12">
        <f t="shared" si="2"/>
        <v>75</v>
      </c>
    </row>
    <row r="13" spans="1:20" x14ac:dyDescent="0.2">
      <c r="A13" t="s">
        <v>18</v>
      </c>
      <c r="B13">
        <v>90</v>
      </c>
      <c r="C13">
        <v>90</v>
      </c>
      <c r="D13">
        <v>90</v>
      </c>
      <c r="E13">
        <v>90</v>
      </c>
      <c r="F13">
        <v>90</v>
      </c>
      <c r="G13">
        <v>90</v>
      </c>
      <c r="H13">
        <v>90</v>
      </c>
      <c r="I13">
        <v>90</v>
      </c>
      <c r="J13">
        <v>90</v>
      </c>
      <c r="K13">
        <v>90</v>
      </c>
      <c r="L13">
        <v>90</v>
      </c>
      <c r="M13">
        <v>90</v>
      </c>
    </row>
    <row r="14" spans="1:20" x14ac:dyDescent="0.2">
      <c r="A14" t="s">
        <v>19</v>
      </c>
      <c r="B14" s="10">
        <f>B12/B13</f>
        <v>0.56666666666666665</v>
      </c>
      <c r="C14" s="10">
        <f t="shared" ref="C14:M14" si="3">C12/C13</f>
        <v>0.76666666666666672</v>
      </c>
      <c r="D14" s="10">
        <f t="shared" si="3"/>
        <v>0.66666666666666663</v>
      </c>
      <c r="E14" s="10">
        <f t="shared" si="3"/>
        <v>0.23333333333333334</v>
      </c>
      <c r="F14" s="10">
        <f t="shared" si="3"/>
        <v>0.36666666666666664</v>
      </c>
      <c r="G14" s="10">
        <f t="shared" si="3"/>
        <v>0.7</v>
      </c>
      <c r="H14" s="10">
        <f t="shared" si="3"/>
        <v>0.36666666666666664</v>
      </c>
      <c r="I14" s="10">
        <f t="shared" si="3"/>
        <v>0.8</v>
      </c>
      <c r="J14" s="10">
        <f t="shared" si="3"/>
        <v>0.62222222222222223</v>
      </c>
      <c r="K14" s="10">
        <f t="shared" si="3"/>
        <v>0.82222222222222219</v>
      </c>
      <c r="L14" s="10">
        <f t="shared" si="3"/>
        <v>0.73333333333333328</v>
      </c>
      <c r="M14" s="10">
        <f t="shared" si="3"/>
        <v>0.83333333333333337</v>
      </c>
    </row>
    <row r="19" spans="1:15" ht="17" thickBot="1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s="1" t="s">
        <v>12</v>
      </c>
      <c r="H19" s="1" t="s">
        <v>17</v>
      </c>
      <c r="I19" t="s">
        <v>18</v>
      </c>
      <c r="J19" t="s">
        <v>19</v>
      </c>
    </row>
    <row r="20" spans="1:15" x14ac:dyDescent="0.2">
      <c r="A20" t="s">
        <v>0</v>
      </c>
      <c r="B20" s="2">
        <v>4</v>
      </c>
      <c r="C20" s="3">
        <v>10</v>
      </c>
      <c r="D20" s="3">
        <v>9</v>
      </c>
      <c r="E20" s="3">
        <v>9</v>
      </c>
      <c r="F20" s="3">
        <v>7</v>
      </c>
      <c r="G20" s="4">
        <v>7</v>
      </c>
      <c r="H20">
        <f>SUM(B20:G20)</f>
        <v>46</v>
      </c>
      <c r="I20">
        <v>60</v>
      </c>
      <c r="J20" s="10">
        <f>H20/I20</f>
        <v>0.76666666666666672</v>
      </c>
    </row>
    <row r="21" spans="1:15" x14ac:dyDescent="0.2">
      <c r="A21" t="s">
        <v>1</v>
      </c>
      <c r="B21" s="5">
        <v>4</v>
      </c>
      <c r="C21">
        <v>6</v>
      </c>
      <c r="D21">
        <v>4</v>
      </c>
      <c r="E21">
        <v>9</v>
      </c>
      <c r="F21">
        <v>8</v>
      </c>
      <c r="G21" s="6">
        <v>9</v>
      </c>
      <c r="H21">
        <f t="shared" ref="H21:H29" si="4">SUM(B21:G21)</f>
        <v>40</v>
      </c>
      <c r="I21">
        <v>60</v>
      </c>
      <c r="J21" s="10">
        <f t="shared" ref="J21:J29" si="5">H21/I21</f>
        <v>0.66666666666666663</v>
      </c>
    </row>
    <row r="22" spans="1:15" x14ac:dyDescent="0.2">
      <c r="A22" t="s">
        <v>2</v>
      </c>
      <c r="B22" s="5">
        <v>3</v>
      </c>
      <c r="C22">
        <v>8</v>
      </c>
      <c r="D22">
        <v>5</v>
      </c>
      <c r="E22">
        <v>6</v>
      </c>
      <c r="F22">
        <v>7</v>
      </c>
      <c r="G22" s="6">
        <v>9</v>
      </c>
      <c r="H22">
        <f t="shared" si="4"/>
        <v>38</v>
      </c>
      <c r="I22">
        <v>60</v>
      </c>
      <c r="J22" s="10">
        <f t="shared" si="5"/>
        <v>0.6333333333333333</v>
      </c>
      <c r="M22">
        <v>750</v>
      </c>
      <c r="N22" t="s">
        <v>21</v>
      </c>
      <c r="O22" t="s">
        <v>22</v>
      </c>
    </row>
    <row r="23" spans="1:15" x14ac:dyDescent="0.2">
      <c r="A23">
        <v>150</v>
      </c>
      <c r="B23" s="5">
        <v>0</v>
      </c>
      <c r="C23">
        <v>4</v>
      </c>
      <c r="D23">
        <v>2</v>
      </c>
      <c r="E23">
        <v>3</v>
      </c>
      <c r="F23">
        <v>0</v>
      </c>
      <c r="G23" s="6">
        <v>3</v>
      </c>
      <c r="H23">
        <f t="shared" si="4"/>
        <v>12</v>
      </c>
      <c r="I23">
        <v>36</v>
      </c>
      <c r="J23" s="10">
        <f t="shared" si="5"/>
        <v>0.33333333333333331</v>
      </c>
    </row>
    <row r="24" spans="1:15" x14ac:dyDescent="0.2">
      <c r="A24">
        <v>250</v>
      </c>
      <c r="B24" s="5">
        <v>2</v>
      </c>
      <c r="C24">
        <v>5</v>
      </c>
      <c r="D24">
        <v>4</v>
      </c>
      <c r="E24">
        <v>5</v>
      </c>
      <c r="F24">
        <v>4</v>
      </c>
      <c r="G24" s="6">
        <v>4</v>
      </c>
      <c r="H24">
        <f t="shared" si="4"/>
        <v>24</v>
      </c>
      <c r="I24">
        <v>36</v>
      </c>
      <c r="J24" s="10">
        <f t="shared" si="5"/>
        <v>0.66666666666666663</v>
      </c>
    </row>
    <row r="25" spans="1:15" x14ac:dyDescent="0.2">
      <c r="A25">
        <v>500</v>
      </c>
      <c r="B25" s="5">
        <v>3</v>
      </c>
      <c r="C25">
        <v>5</v>
      </c>
      <c r="D25">
        <v>3</v>
      </c>
      <c r="E25">
        <v>5</v>
      </c>
      <c r="F25">
        <v>6</v>
      </c>
      <c r="G25" s="6">
        <v>6</v>
      </c>
      <c r="H25">
        <f t="shared" si="4"/>
        <v>28</v>
      </c>
      <c r="I25">
        <v>36</v>
      </c>
      <c r="J25" s="10">
        <f t="shared" si="5"/>
        <v>0.77777777777777779</v>
      </c>
    </row>
    <row r="26" spans="1:15" x14ac:dyDescent="0.2">
      <c r="A26">
        <v>750</v>
      </c>
      <c r="B26" s="5">
        <v>4</v>
      </c>
      <c r="C26">
        <v>6</v>
      </c>
      <c r="D26">
        <v>5</v>
      </c>
      <c r="E26">
        <v>6</v>
      </c>
      <c r="F26">
        <v>6</v>
      </c>
      <c r="G26" s="6">
        <v>6</v>
      </c>
      <c r="H26">
        <f t="shared" si="4"/>
        <v>33</v>
      </c>
      <c r="I26">
        <v>36</v>
      </c>
      <c r="J26" s="10">
        <f t="shared" si="5"/>
        <v>0.91666666666666663</v>
      </c>
    </row>
    <row r="27" spans="1:15" x14ac:dyDescent="0.2">
      <c r="A27">
        <v>1000</v>
      </c>
      <c r="B27" s="5">
        <v>2</v>
      </c>
      <c r="C27">
        <v>4</v>
      </c>
      <c r="D27">
        <v>5</v>
      </c>
      <c r="E27">
        <v>6</v>
      </c>
      <c r="F27">
        <v>6</v>
      </c>
      <c r="G27" s="6">
        <v>6</v>
      </c>
      <c r="H27">
        <f t="shared" si="4"/>
        <v>29</v>
      </c>
      <c r="I27">
        <v>36</v>
      </c>
      <c r="J27" s="10">
        <f t="shared" si="5"/>
        <v>0.80555555555555558</v>
      </c>
    </row>
    <row r="28" spans="1:15" x14ac:dyDescent="0.2">
      <c r="A28" t="s">
        <v>15</v>
      </c>
      <c r="B28" s="5">
        <v>1</v>
      </c>
      <c r="C28">
        <v>10</v>
      </c>
      <c r="D28">
        <v>5</v>
      </c>
      <c r="E28">
        <v>11</v>
      </c>
      <c r="F28">
        <v>10</v>
      </c>
      <c r="G28" s="6">
        <v>12</v>
      </c>
      <c r="H28">
        <f t="shared" si="4"/>
        <v>49</v>
      </c>
      <c r="I28">
        <v>90</v>
      </c>
      <c r="J28" s="10">
        <f t="shared" si="5"/>
        <v>0.5444444444444444</v>
      </c>
    </row>
    <row r="29" spans="1:15" ht="17" thickBot="1" x14ac:dyDescent="0.25">
      <c r="A29" t="s">
        <v>16</v>
      </c>
      <c r="B29" s="7">
        <v>10</v>
      </c>
      <c r="C29" s="8">
        <v>14</v>
      </c>
      <c r="D29" s="8">
        <v>14</v>
      </c>
      <c r="E29" s="8">
        <v>14</v>
      </c>
      <c r="F29" s="8">
        <v>12</v>
      </c>
      <c r="G29" s="9">
        <v>13</v>
      </c>
      <c r="H29">
        <f t="shared" si="4"/>
        <v>77</v>
      </c>
      <c r="I29">
        <v>90</v>
      </c>
      <c r="J29" s="10">
        <f t="shared" si="5"/>
        <v>0.85555555555555551</v>
      </c>
    </row>
    <row r="30" spans="1:15" x14ac:dyDescent="0.2">
      <c r="A30" t="s">
        <v>17</v>
      </c>
      <c r="B30">
        <f t="shared" ref="B30" si="6">SUM(B20:B29)</f>
        <v>33</v>
      </c>
      <c r="C30">
        <f t="shared" ref="C30" si="7">SUM(C20:C29)</f>
        <v>72</v>
      </c>
      <c r="D30">
        <f t="shared" ref="D30" si="8">SUM(D20:D29)</f>
        <v>56</v>
      </c>
      <c r="E30">
        <f t="shared" ref="E30" si="9">SUM(E20:E29)</f>
        <v>74</v>
      </c>
      <c r="F30">
        <f t="shared" ref="F30" si="10">SUM(F20:F29)</f>
        <v>66</v>
      </c>
      <c r="G30">
        <f t="shared" ref="G30" si="11">SUM(G20:G29)</f>
        <v>75</v>
      </c>
    </row>
    <row r="31" spans="1:15" x14ac:dyDescent="0.2">
      <c r="A31" t="s">
        <v>18</v>
      </c>
      <c r="B31">
        <v>90</v>
      </c>
      <c r="C31">
        <v>90</v>
      </c>
      <c r="D31">
        <v>90</v>
      </c>
      <c r="E31">
        <v>90</v>
      </c>
      <c r="F31">
        <v>90</v>
      </c>
      <c r="G31">
        <v>90</v>
      </c>
    </row>
    <row r="32" spans="1:15" x14ac:dyDescent="0.2">
      <c r="A32" t="s">
        <v>19</v>
      </c>
      <c r="B32" s="10">
        <f t="shared" ref="B32" si="12">B30/B31</f>
        <v>0.36666666666666664</v>
      </c>
      <c r="C32" s="10">
        <f t="shared" ref="C32" si="13">C30/C31</f>
        <v>0.8</v>
      </c>
      <c r="D32" s="10">
        <f t="shared" ref="D32" si="14">D30/D31</f>
        <v>0.62222222222222223</v>
      </c>
      <c r="E32" s="10">
        <f t="shared" ref="E32" si="15">E30/E31</f>
        <v>0.82222222222222219</v>
      </c>
      <c r="F32" s="10">
        <f t="shared" ref="F32" si="16">F30/F31</f>
        <v>0.73333333333333328</v>
      </c>
      <c r="G32" s="10">
        <f t="shared" ref="G32" si="17">G30/G31</f>
        <v>0.83333333333333337</v>
      </c>
    </row>
    <row r="34" spans="1:15" ht="17" thickBot="1" x14ac:dyDescent="0.25"/>
    <row r="35" spans="1:15" ht="17" thickBot="1" x14ac:dyDescent="0.25">
      <c r="B35" s="2" t="s">
        <v>3</v>
      </c>
      <c r="C35" s="3" t="s">
        <v>4</v>
      </c>
      <c r="D35" s="11" t="s">
        <v>5</v>
      </c>
      <c r="E35" s="3" t="s">
        <v>6</v>
      </c>
      <c r="F35" s="3" t="s">
        <v>13</v>
      </c>
      <c r="G35" s="12" t="s">
        <v>14</v>
      </c>
      <c r="H35" s="1" t="s">
        <v>17</v>
      </c>
      <c r="I35" t="s">
        <v>18</v>
      </c>
      <c r="J35" t="s">
        <v>19</v>
      </c>
    </row>
    <row r="36" spans="1:15" x14ac:dyDescent="0.2">
      <c r="A36" t="s">
        <v>0</v>
      </c>
      <c r="B36" s="2">
        <v>7</v>
      </c>
      <c r="C36" s="3">
        <v>7</v>
      </c>
      <c r="D36" s="3">
        <v>6</v>
      </c>
      <c r="E36" s="3">
        <v>3</v>
      </c>
      <c r="F36" s="3">
        <v>4</v>
      </c>
      <c r="G36" s="4">
        <v>6</v>
      </c>
      <c r="H36">
        <f>SUM(B36:G36)</f>
        <v>33</v>
      </c>
      <c r="I36">
        <v>60</v>
      </c>
      <c r="J36" s="10">
        <f>H36/I36</f>
        <v>0.55000000000000004</v>
      </c>
    </row>
    <row r="37" spans="1:15" x14ac:dyDescent="0.2">
      <c r="A37" t="s">
        <v>1</v>
      </c>
      <c r="B37" s="5">
        <v>3</v>
      </c>
      <c r="C37">
        <v>6</v>
      </c>
      <c r="D37">
        <v>7</v>
      </c>
      <c r="E37">
        <v>1</v>
      </c>
      <c r="F37">
        <v>4</v>
      </c>
      <c r="G37" s="6">
        <v>9</v>
      </c>
      <c r="H37">
        <f t="shared" ref="H37:H45" si="18">SUM(B37:G37)</f>
        <v>30</v>
      </c>
      <c r="I37">
        <v>60</v>
      </c>
      <c r="J37" s="10">
        <f t="shared" ref="J37:J45" si="19">H37/I37</f>
        <v>0.5</v>
      </c>
    </row>
    <row r="38" spans="1:15" x14ac:dyDescent="0.2">
      <c r="A38" t="s">
        <v>2</v>
      </c>
      <c r="B38" s="5">
        <v>7</v>
      </c>
      <c r="C38">
        <v>8</v>
      </c>
      <c r="D38">
        <v>7</v>
      </c>
      <c r="E38">
        <v>3</v>
      </c>
      <c r="F38">
        <v>3</v>
      </c>
      <c r="G38" s="6">
        <v>6</v>
      </c>
      <c r="H38">
        <f t="shared" si="18"/>
        <v>34</v>
      </c>
      <c r="I38">
        <v>60</v>
      </c>
      <c r="J38" s="10">
        <f t="shared" si="19"/>
        <v>0.56666666666666665</v>
      </c>
    </row>
    <row r="39" spans="1:15" x14ac:dyDescent="0.2">
      <c r="A39">
        <v>150</v>
      </c>
      <c r="B39" s="5">
        <v>5</v>
      </c>
      <c r="C39">
        <v>6</v>
      </c>
      <c r="D39">
        <v>6</v>
      </c>
      <c r="E39">
        <v>0</v>
      </c>
      <c r="F39">
        <v>1</v>
      </c>
      <c r="G39" s="6">
        <v>2</v>
      </c>
      <c r="H39">
        <f t="shared" si="18"/>
        <v>20</v>
      </c>
      <c r="I39">
        <v>36</v>
      </c>
      <c r="J39" s="10">
        <f t="shared" si="19"/>
        <v>0.55555555555555558</v>
      </c>
    </row>
    <row r="40" spans="1:15" x14ac:dyDescent="0.2">
      <c r="A40">
        <v>250</v>
      </c>
      <c r="B40" s="5">
        <v>4</v>
      </c>
      <c r="C40">
        <v>6</v>
      </c>
      <c r="D40">
        <v>6</v>
      </c>
      <c r="E40">
        <v>0</v>
      </c>
      <c r="F40">
        <v>0</v>
      </c>
      <c r="G40" s="6">
        <v>3</v>
      </c>
      <c r="H40">
        <f t="shared" si="18"/>
        <v>19</v>
      </c>
      <c r="I40">
        <v>36</v>
      </c>
      <c r="J40" s="10">
        <f t="shared" si="19"/>
        <v>0.52777777777777779</v>
      </c>
    </row>
    <row r="41" spans="1:15" x14ac:dyDescent="0.2">
      <c r="A41">
        <v>500</v>
      </c>
      <c r="B41" s="5">
        <v>2</v>
      </c>
      <c r="C41">
        <v>2</v>
      </c>
      <c r="D41">
        <v>3</v>
      </c>
      <c r="E41">
        <v>3</v>
      </c>
      <c r="F41">
        <v>3</v>
      </c>
      <c r="G41" s="6">
        <v>4</v>
      </c>
      <c r="H41">
        <f t="shared" si="18"/>
        <v>17</v>
      </c>
      <c r="I41">
        <v>36</v>
      </c>
      <c r="J41" s="10">
        <f t="shared" si="19"/>
        <v>0.47222222222222221</v>
      </c>
    </row>
    <row r="42" spans="1:15" x14ac:dyDescent="0.2">
      <c r="A42">
        <v>750</v>
      </c>
      <c r="B42" s="5">
        <v>2</v>
      </c>
      <c r="C42">
        <v>3</v>
      </c>
      <c r="D42">
        <v>3</v>
      </c>
      <c r="E42">
        <v>2</v>
      </c>
      <c r="F42">
        <v>3</v>
      </c>
      <c r="G42" s="6">
        <v>6</v>
      </c>
      <c r="H42">
        <f t="shared" si="18"/>
        <v>19</v>
      </c>
      <c r="I42">
        <v>36</v>
      </c>
      <c r="J42" s="10">
        <f t="shared" si="19"/>
        <v>0.52777777777777779</v>
      </c>
      <c r="M42">
        <v>1000</v>
      </c>
      <c r="N42" t="s">
        <v>23</v>
      </c>
      <c r="O42" t="s">
        <v>22</v>
      </c>
    </row>
    <row r="43" spans="1:15" x14ac:dyDescent="0.2">
      <c r="A43">
        <v>1000</v>
      </c>
      <c r="B43" s="5">
        <v>4</v>
      </c>
      <c r="C43">
        <v>4</v>
      </c>
      <c r="D43">
        <v>2</v>
      </c>
      <c r="E43">
        <v>2</v>
      </c>
      <c r="F43">
        <v>4</v>
      </c>
      <c r="G43" s="6">
        <v>6</v>
      </c>
      <c r="H43">
        <f t="shared" si="18"/>
        <v>22</v>
      </c>
      <c r="I43">
        <v>36</v>
      </c>
      <c r="J43" s="10">
        <f t="shared" si="19"/>
        <v>0.61111111111111116</v>
      </c>
    </row>
    <row r="44" spans="1:15" x14ac:dyDescent="0.2">
      <c r="A44" t="s">
        <v>15</v>
      </c>
      <c r="B44" s="5">
        <v>10</v>
      </c>
      <c r="C44">
        <v>11</v>
      </c>
      <c r="D44">
        <v>14</v>
      </c>
      <c r="E44">
        <v>0</v>
      </c>
      <c r="F44">
        <v>2</v>
      </c>
      <c r="G44" s="6">
        <v>9</v>
      </c>
      <c r="H44">
        <f t="shared" si="18"/>
        <v>46</v>
      </c>
      <c r="I44">
        <v>90</v>
      </c>
      <c r="J44" s="10">
        <f t="shared" si="19"/>
        <v>0.51111111111111107</v>
      </c>
    </row>
    <row r="45" spans="1:15" ht="17" thickBot="1" x14ac:dyDescent="0.25">
      <c r="A45" t="s">
        <v>16</v>
      </c>
      <c r="B45" s="7">
        <v>7</v>
      </c>
      <c r="C45" s="8">
        <v>10</v>
      </c>
      <c r="D45" s="8">
        <v>6</v>
      </c>
      <c r="E45" s="8">
        <v>7</v>
      </c>
      <c r="F45" s="8">
        <v>9</v>
      </c>
      <c r="G45" s="9">
        <v>12</v>
      </c>
      <c r="H45">
        <f t="shared" si="18"/>
        <v>51</v>
      </c>
      <c r="I45">
        <v>90</v>
      </c>
      <c r="J45" s="10">
        <f t="shared" si="19"/>
        <v>0.56666666666666665</v>
      </c>
    </row>
    <row r="46" spans="1:15" x14ac:dyDescent="0.2">
      <c r="A46" t="s">
        <v>17</v>
      </c>
      <c r="B46">
        <f>SUM(B36:B45)</f>
        <v>51</v>
      </c>
      <c r="C46">
        <f t="shared" ref="C46" si="20">SUM(C36:C45)</f>
        <v>63</v>
      </c>
      <c r="D46">
        <f t="shared" ref="D46" si="21">SUM(D36:D45)</f>
        <v>60</v>
      </c>
      <c r="E46">
        <f t="shared" ref="E46" si="22">SUM(E36:E45)</f>
        <v>21</v>
      </c>
      <c r="F46">
        <f t="shared" ref="F46" si="23">SUM(F36:F45)</f>
        <v>33</v>
      </c>
      <c r="G46">
        <f t="shared" ref="G46" si="24">SUM(G36:G45)</f>
        <v>63</v>
      </c>
      <c r="J46" s="13">
        <f>AVERAGE(J36:J45)</f>
        <v>0.53888888888888897</v>
      </c>
    </row>
    <row r="47" spans="1:15" x14ac:dyDescent="0.2">
      <c r="A47" t="s">
        <v>18</v>
      </c>
      <c r="B47">
        <v>90</v>
      </c>
      <c r="C47">
        <v>90</v>
      </c>
      <c r="D47">
        <v>90</v>
      </c>
      <c r="E47">
        <v>90</v>
      </c>
      <c r="F47">
        <v>90</v>
      </c>
      <c r="G47">
        <v>90</v>
      </c>
    </row>
    <row r="48" spans="1:15" x14ac:dyDescent="0.2">
      <c r="A48" t="s">
        <v>19</v>
      </c>
      <c r="B48" s="10">
        <f>B46/B47</f>
        <v>0.56666666666666665</v>
      </c>
      <c r="C48" s="10">
        <f t="shared" ref="C48" si="25">C46/C47</f>
        <v>0.7</v>
      </c>
      <c r="D48" s="10">
        <f t="shared" ref="D48" si="26">D46/D47</f>
        <v>0.66666666666666663</v>
      </c>
      <c r="E48" s="10">
        <f t="shared" ref="E48" si="27">E46/E47</f>
        <v>0.23333333333333334</v>
      </c>
      <c r="F48" s="10">
        <f t="shared" ref="F48" si="28">F46/F47</f>
        <v>0.36666666666666664</v>
      </c>
      <c r="G48" s="10">
        <f t="shared" ref="G48" si="29">G46/G47</f>
        <v>0.7</v>
      </c>
    </row>
    <row r="52" spans="1:16" ht="17" thickBot="1" x14ac:dyDescent="0.25">
      <c r="B52" t="s">
        <v>4</v>
      </c>
      <c r="C52" s="1" t="s">
        <v>5</v>
      </c>
      <c r="D52" s="1" t="s">
        <v>14</v>
      </c>
      <c r="E52" t="s">
        <v>8</v>
      </c>
      <c r="F52" t="s">
        <v>10</v>
      </c>
      <c r="G52" s="1" t="s">
        <v>12</v>
      </c>
      <c r="H52" s="1" t="s">
        <v>17</v>
      </c>
      <c r="I52" t="s">
        <v>18</v>
      </c>
      <c r="J52" t="s">
        <v>19</v>
      </c>
    </row>
    <row r="53" spans="1:16" x14ac:dyDescent="0.2">
      <c r="A53" t="s">
        <v>0</v>
      </c>
      <c r="B53" s="2">
        <v>7</v>
      </c>
      <c r="C53" s="3">
        <v>6</v>
      </c>
      <c r="D53" s="3">
        <v>6</v>
      </c>
      <c r="E53" s="3">
        <v>10</v>
      </c>
      <c r="F53" s="3">
        <v>9</v>
      </c>
      <c r="G53" s="4">
        <v>7</v>
      </c>
      <c r="H53">
        <f>SUM(B53:G53)</f>
        <v>45</v>
      </c>
      <c r="I53">
        <v>60</v>
      </c>
      <c r="J53" s="10">
        <f>H53/I53</f>
        <v>0.75</v>
      </c>
      <c r="K53" s="10"/>
      <c r="L53" s="10"/>
      <c r="M53" s="10"/>
      <c r="O53" s="10"/>
      <c r="P53" s="10"/>
    </row>
    <row r="54" spans="1:16" x14ac:dyDescent="0.2">
      <c r="A54" t="s">
        <v>1</v>
      </c>
      <c r="B54" s="5">
        <v>6</v>
      </c>
      <c r="C54">
        <v>7</v>
      </c>
      <c r="D54">
        <v>9</v>
      </c>
      <c r="E54">
        <v>6</v>
      </c>
      <c r="F54">
        <v>9</v>
      </c>
      <c r="G54" s="6">
        <v>9</v>
      </c>
      <c r="H54">
        <f t="shared" ref="H54:H62" si="30">SUM(B54:G54)</f>
        <v>46</v>
      </c>
      <c r="I54">
        <v>60</v>
      </c>
      <c r="J54" s="10">
        <f t="shared" ref="J54:J62" si="31">H54/I54</f>
        <v>0.76666666666666672</v>
      </c>
      <c r="K54" s="10"/>
      <c r="L54" s="10"/>
      <c r="M54" s="10"/>
      <c r="O54" s="10"/>
      <c r="P54" s="10"/>
    </row>
    <row r="55" spans="1:16" x14ac:dyDescent="0.2">
      <c r="A55" t="s">
        <v>2</v>
      </c>
      <c r="B55" s="5">
        <v>8</v>
      </c>
      <c r="C55">
        <v>7</v>
      </c>
      <c r="D55">
        <v>6</v>
      </c>
      <c r="E55">
        <v>8</v>
      </c>
      <c r="F55">
        <v>6</v>
      </c>
      <c r="G55" s="6">
        <v>9</v>
      </c>
      <c r="H55">
        <f t="shared" si="30"/>
        <v>44</v>
      </c>
      <c r="I55">
        <v>60</v>
      </c>
      <c r="J55" s="10">
        <f t="shared" si="31"/>
        <v>0.73333333333333328</v>
      </c>
      <c r="K55" s="10"/>
      <c r="L55" s="10"/>
      <c r="M55" s="10"/>
      <c r="O55" s="10"/>
      <c r="P55" s="10"/>
    </row>
    <row r="56" spans="1:16" x14ac:dyDescent="0.2">
      <c r="A56">
        <v>150</v>
      </c>
      <c r="B56" s="5">
        <v>6</v>
      </c>
      <c r="C56">
        <v>6</v>
      </c>
      <c r="D56">
        <v>2</v>
      </c>
      <c r="E56">
        <v>4</v>
      </c>
      <c r="F56">
        <v>3</v>
      </c>
      <c r="G56" s="6">
        <v>3</v>
      </c>
      <c r="H56">
        <f t="shared" si="30"/>
        <v>24</v>
      </c>
      <c r="I56">
        <v>36</v>
      </c>
      <c r="J56" s="10">
        <f t="shared" si="31"/>
        <v>0.66666666666666663</v>
      </c>
      <c r="K56" s="10"/>
      <c r="L56" s="10"/>
      <c r="M56" s="10"/>
      <c r="O56" s="10"/>
      <c r="P56" s="10"/>
    </row>
    <row r="57" spans="1:16" x14ac:dyDescent="0.2">
      <c r="A57">
        <v>250</v>
      </c>
      <c r="B57" s="5">
        <v>6</v>
      </c>
      <c r="C57">
        <v>6</v>
      </c>
      <c r="D57">
        <v>3</v>
      </c>
      <c r="E57">
        <v>5</v>
      </c>
      <c r="F57">
        <v>5</v>
      </c>
      <c r="G57" s="6">
        <v>4</v>
      </c>
      <c r="H57">
        <f t="shared" si="30"/>
        <v>29</v>
      </c>
      <c r="I57">
        <v>36</v>
      </c>
      <c r="J57" s="10">
        <f t="shared" si="31"/>
        <v>0.80555555555555558</v>
      </c>
      <c r="K57" s="10"/>
      <c r="L57" s="10"/>
      <c r="M57" s="10"/>
      <c r="O57" s="10"/>
      <c r="P57" s="10"/>
    </row>
    <row r="58" spans="1:16" x14ac:dyDescent="0.2">
      <c r="A58">
        <v>500</v>
      </c>
      <c r="B58" s="5">
        <v>2</v>
      </c>
      <c r="C58">
        <v>3</v>
      </c>
      <c r="D58">
        <v>4</v>
      </c>
      <c r="E58">
        <v>5</v>
      </c>
      <c r="F58">
        <v>5</v>
      </c>
      <c r="G58" s="6">
        <v>6</v>
      </c>
      <c r="H58">
        <f t="shared" si="30"/>
        <v>25</v>
      </c>
      <c r="I58">
        <v>36</v>
      </c>
      <c r="J58" s="10">
        <f t="shared" si="31"/>
        <v>0.69444444444444442</v>
      </c>
      <c r="K58" s="10"/>
      <c r="L58" s="10"/>
      <c r="M58" s="10">
        <v>7.5</v>
      </c>
      <c r="N58" t="s">
        <v>24</v>
      </c>
      <c r="O58" s="10" t="s">
        <v>22</v>
      </c>
      <c r="P58" s="10"/>
    </row>
    <row r="59" spans="1:16" x14ac:dyDescent="0.2">
      <c r="A59">
        <v>750</v>
      </c>
      <c r="B59" s="5">
        <v>3</v>
      </c>
      <c r="C59">
        <v>3</v>
      </c>
      <c r="D59">
        <v>6</v>
      </c>
      <c r="E59">
        <v>6</v>
      </c>
      <c r="F59">
        <v>6</v>
      </c>
      <c r="G59" s="6">
        <v>6</v>
      </c>
      <c r="H59">
        <f t="shared" si="30"/>
        <v>30</v>
      </c>
      <c r="I59">
        <v>36</v>
      </c>
      <c r="J59" s="10">
        <f t="shared" si="31"/>
        <v>0.83333333333333337</v>
      </c>
      <c r="K59" s="10"/>
      <c r="L59" s="10"/>
      <c r="M59" s="10"/>
      <c r="O59" s="10"/>
      <c r="P59" s="10"/>
    </row>
    <row r="60" spans="1:16" x14ac:dyDescent="0.2">
      <c r="A60">
        <v>1000</v>
      </c>
      <c r="B60" s="5">
        <v>4</v>
      </c>
      <c r="C60">
        <v>2</v>
      </c>
      <c r="D60">
        <v>6</v>
      </c>
      <c r="E60">
        <v>4</v>
      </c>
      <c r="F60">
        <v>6</v>
      </c>
      <c r="G60" s="6">
        <v>6</v>
      </c>
      <c r="H60">
        <f t="shared" si="30"/>
        <v>28</v>
      </c>
      <c r="I60">
        <v>36</v>
      </c>
      <c r="J60" s="10">
        <f t="shared" si="31"/>
        <v>0.77777777777777779</v>
      </c>
      <c r="K60" s="10"/>
      <c r="L60" s="10"/>
      <c r="M60" s="10"/>
      <c r="O60" s="10"/>
      <c r="P60" s="10"/>
    </row>
    <row r="61" spans="1:16" x14ac:dyDescent="0.2">
      <c r="A61" t="s">
        <v>15</v>
      </c>
      <c r="B61" s="5">
        <v>11</v>
      </c>
      <c r="C61">
        <v>14</v>
      </c>
      <c r="D61">
        <v>9</v>
      </c>
      <c r="E61">
        <v>10</v>
      </c>
      <c r="F61">
        <v>11</v>
      </c>
      <c r="G61" s="6">
        <v>12</v>
      </c>
      <c r="H61">
        <f t="shared" si="30"/>
        <v>67</v>
      </c>
      <c r="I61">
        <v>90</v>
      </c>
      <c r="J61" s="10">
        <f t="shared" si="31"/>
        <v>0.74444444444444446</v>
      </c>
      <c r="K61" s="10"/>
      <c r="L61" s="10"/>
      <c r="M61" s="10"/>
      <c r="O61" s="10"/>
      <c r="P61" s="10"/>
    </row>
    <row r="62" spans="1:16" ht="17" thickBot="1" x14ac:dyDescent="0.25">
      <c r="A62" t="s">
        <v>16</v>
      </c>
      <c r="B62" s="7">
        <v>10</v>
      </c>
      <c r="C62" s="8">
        <v>6</v>
      </c>
      <c r="D62" s="8">
        <v>12</v>
      </c>
      <c r="E62" s="8">
        <v>14</v>
      </c>
      <c r="F62" s="8">
        <v>14</v>
      </c>
      <c r="G62" s="9">
        <v>13</v>
      </c>
      <c r="H62">
        <f t="shared" si="30"/>
        <v>69</v>
      </c>
      <c r="I62">
        <v>90</v>
      </c>
      <c r="J62" s="10">
        <f t="shared" si="31"/>
        <v>0.76666666666666672</v>
      </c>
      <c r="K62" s="10"/>
      <c r="L62" s="10"/>
      <c r="M62" s="10"/>
      <c r="O62" s="10"/>
      <c r="P62" s="10"/>
    </row>
    <row r="63" spans="1:16" x14ac:dyDescent="0.2">
      <c r="A63" t="s">
        <v>17</v>
      </c>
      <c r="B63">
        <f>SUM(B53:B62)</f>
        <v>63</v>
      </c>
      <c r="C63">
        <f t="shared" ref="C63" si="32">SUM(C53:C62)</f>
        <v>60</v>
      </c>
      <c r="D63">
        <f t="shared" ref="D63" si="33">SUM(D53:D62)</f>
        <v>63</v>
      </c>
      <c r="E63">
        <f t="shared" ref="E63" si="34">SUM(E53:E62)</f>
        <v>72</v>
      </c>
      <c r="F63">
        <f t="shared" ref="F63" si="35">SUM(F53:F62)</f>
        <v>74</v>
      </c>
      <c r="G63">
        <f t="shared" ref="G63" si="36">SUM(G53:G62)</f>
        <v>75</v>
      </c>
    </row>
    <row r="64" spans="1:16" x14ac:dyDescent="0.2">
      <c r="A64" t="s">
        <v>18</v>
      </c>
      <c r="B64">
        <v>90</v>
      </c>
      <c r="C64">
        <v>90</v>
      </c>
      <c r="D64">
        <v>90</v>
      </c>
      <c r="E64">
        <v>90</v>
      </c>
      <c r="F64">
        <v>90</v>
      </c>
      <c r="G64">
        <v>90</v>
      </c>
    </row>
    <row r="65" spans="1:16" x14ac:dyDescent="0.2">
      <c r="A65" t="s">
        <v>19</v>
      </c>
      <c r="B65" s="10">
        <f>B63/B64</f>
        <v>0.7</v>
      </c>
      <c r="C65" s="10">
        <f t="shared" ref="C65" si="37">C63/C64</f>
        <v>0.66666666666666663</v>
      </c>
      <c r="D65" s="10">
        <f t="shared" ref="D65" si="38">D63/D64</f>
        <v>0.7</v>
      </c>
      <c r="E65" s="10">
        <f t="shared" ref="E65" si="39">E63/E64</f>
        <v>0.8</v>
      </c>
      <c r="F65" s="10">
        <f t="shared" ref="F65" si="40">F63/F64</f>
        <v>0.82222222222222219</v>
      </c>
      <c r="G65" s="10">
        <f t="shared" ref="G65" si="41">G63/G64</f>
        <v>0.83333333333333337</v>
      </c>
      <c r="H65" s="10"/>
      <c r="I65" s="10"/>
      <c r="J65" s="10"/>
      <c r="K65" s="10"/>
      <c r="L65" s="10"/>
      <c r="M65" s="10"/>
    </row>
    <row r="70" spans="1:16" ht="17" thickBot="1" x14ac:dyDescent="0.25">
      <c r="B70" t="s">
        <v>8</v>
      </c>
      <c r="C70" t="s">
        <v>9</v>
      </c>
      <c r="D70" t="s">
        <v>10</v>
      </c>
      <c r="E70" s="1" t="s">
        <v>17</v>
      </c>
      <c r="F70" t="s">
        <v>18</v>
      </c>
      <c r="G70" t="s">
        <v>19</v>
      </c>
      <c r="M70" s="1"/>
      <c r="N70" s="1"/>
    </row>
    <row r="71" spans="1:16" x14ac:dyDescent="0.2">
      <c r="A71" t="s">
        <v>0</v>
      </c>
      <c r="B71" s="3">
        <v>10</v>
      </c>
      <c r="C71" s="3">
        <v>9</v>
      </c>
      <c r="D71" s="3">
        <v>9</v>
      </c>
      <c r="E71">
        <f>SUM(B71:D71)</f>
        <v>28</v>
      </c>
      <c r="F71">
        <f>3*10</f>
        <v>30</v>
      </c>
      <c r="G71" s="10">
        <f>E71/F71</f>
        <v>0.93333333333333335</v>
      </c>
      <c r="H71" s="3"/>
      <c r="I71" s="3"/>
      <c r="J71" s="3"/>
      <c r="K71" s="3"/>
      <c r="L71" s="3"/>
      <c r="M71" s="4"/>
      <c r="P71" s="10"/>
    </row>
    <row r="72" spans="1:16" x14ac:dyDescent="0.2">
      <c r="A72" t="s">
        <v>1</v>
      </c>
      <c r="B72">
        <v>6</v>
      </c>
      <c r="C72">
        <v>4</v>
      </c>
      <c r="D72">
        <v>9</v>
      </c>
      <c r="E72">
        <f t="shared" ref="E72:E80" si="42">SUM(B72:D72)</f>
        <v>19</v>
      </c>
      <c r="F72">
        <f>3*10</f>
        <v>30</v>
      </c>
      <c r="G72" s="10">
        <f t="shared" ref="G72:G80" si="43">E72/F72</f>
        <v>0.6333333333333333</v>
      </c>
      <c r="M72" s="6"/>
      <c r="P72" s="10"/>
    </row>
    <row r="73" spans="1:16" x14ac:dyDescent="0.2">
      <c r="A73" t="s">
        <v>2</v>
      </c>
      <c r="B73">
        <v>8</v>
      </c>
      <c r="C73">
        <v>5</v>
      </c>
      <c r="D73">
        <v>6</v>
      </c>
      <c r="E73">
        <f t="shared" si="42"/>
        <v>19</v>
      </c>
      <c r="F73">
        <f>3*10</f>
        <v>30</v>
      </c>
      <c r="G73" s="10">
        <f t="shared" si="43"/>
        <v>0.6333333333333333</v>
      </c>
      <c r="M73" s="6"/>
      <c r="P73" s="10"/>
    </row>
    <row r="74" spans="1:16" x14ac:dyDescent="0.2">
      <c r="A74">
        <v>150</v>
      </c>
      <c r="B74">
        <v>4</v>
      </c>
      <c r="C74">
        <v>2</v>
      </c>
      <c r="D74">
        <v>3</v>
      </c>
      <c r="E74">
        <f t="shared" si="42"/>
        <v>9</v>
      </c>
      <c r="F74">
        <f>3*6</f>
        <v>18</v>
      </c>
      <c r="G74" s="10">
        <f t="shared" si="43"/>
        <v>0.5</v>
      </c>
      <c r="M74" s="6"/>
      <c r="P74" s="10"/>
    </row>
    <row r="75" spans="1:16" x14ac:dyDescent="0.2">
      <c r="A75">
        <v>250</v>
      </c>
      <c r="B75">
        <v>5</v>
      </c>
      <c r="C75">
        <v>4</v>
      </c>
      <c r="D75">
        <v>5</v>
      </c>
      <c r="E75">
        <f t="shared" si="42"/>
        <v>14</v>
      </c>
      <c r="F75">
        <f>3*6</f>
        <v>18</v>
      </c>
      <c r="G75" s="10">
        <f t="shared" si="43"/>
        <v>0.77777777777777779</v>
      </c>
      <c r="M75" s="6"/>
      <c r="P75" s="10"/>
    </row>
    <row r="76" spans="1:16" x14ac:dyDescent="0.2">
      <c r="A76">
        <v>500</v>
      </c>
      <c r="B76">
        <v>5</v>
      </c>
      <c r="C76">
        <v>3</v>
      </c>
      <c r="D76">
        <v>5</v>
      </c>
      <c r="E76">
        <f t="shared" si="42"/>
        <v>13</v>
      </c>
      <c r="F76">
        <f>3*6</f>
        <v>18</v>
      </c>
      <c r="G76" s="10">
        <f t="shared" si="43"/>
        <v>0.72222222222222221</v>
      </c>
      <c r="M76" s="6"/>
      <c r="P76" s="10"/>
    </row>
    <row r="77" spans="1:16" x14ac:dyDescent="0.2">
      <c r="A77">
        <v>750</v>
      </c>
      <c r="B77">
        <v>6</v>
      </c>
      <c r="C77">
        <v>5</v>
      </c>
      <c r="D77">
        <v>6</v>
      </c>
      <c r="E77">
        <f t="shared" si="42"/>
        <v>17</v>
      </c>
      <c r="F77">
        <f>3*6</f>
        <v>18</v>
      </c>
      <c r="G77" s="10">
        <f t="shared" si="43"/>
        <v>0.94444444444444442</v>
      </c>
      <c r="M77" s="6"/>
      <c r="P77" s="10"/>
    </row>
    <row r="78" spans="1:16" x14ac:dyDescent="0.2">
      <c r="A78">
        <v>1000</v>
      </c>
      <c r="B78">
        <v>4</v>
      </c>
      <c r="C78">
        <v>5</v>
      </c>
      <c r="D78">
        <v>6</v>
      </c>
      <c r="E78">
        <f t="shared" si="42"/>
        <v>15</v>
      </c>
      <c r="F78">
        <f>3*6</f>
        <v>18</v>
      </c>
      <c r="G78" s="10">
        <f t="shared" si="43"/>
        <v>0.83333333333333337</v>
      </c>
      <c r="M78" s="6"/>
      <c r="P78" s="10"/>
    </row>
    <row r="79" spans="1:16" x14ac:dyDescent="0.2">
      <c r="A79" t="s">
        <v>15</v>
      </c>
      <c r="B79">
        <v>10</v>
      </c>
      <c r="C79">
        <v>5</v>
      </c>
      <c r="D79">
        <v>11</v>
      </c>
      <c r="E79">
        <f t="shared" si="42"/>
        <v>26</v>
      </c>
      <c r="F79">
        <f>3*15</f>
        <v>45</v>
      </c>
      <c r="G79" s="10">
        <f t="shared" si="43"/>
        <v>0.57777777777777772</v>
      </c>
      <c r="M79" s="6"/>
      <c r="P79" s="10"/>
    </row>
    <row r="80" spans="1:16" ht="17" thickBot="1" x14ac:dyDescent="0.25">
      <c r="A80" t="s">
        <v>16</v>
      </c>
      <c r="B80" s="8">
        <v>14</v>
      </c>
      <c r="C80" s="8">
        <v>14</v>
      </c>
      <c r="D80" s="8">
        <v>14</v>
      </c>
      <c r="E80">
        <f t="shared" si="42"/>
        <v>42</v>
      </c>
      <c r="F80">
        <f>3*15</f>
        <v>45</v>
      </c>
      <c r="G80" s="10">
        <f t="shared" si="43"/>
        <v>0.93333333333333335</v>
      </c>
      <c r="H80" s="8"/>
      <c r="I80" s="8"/>
      <c r="J80" s="8"/>
      <c r="K80" s="8"/>
      <c r="L80" s="8"/>
      <c r="M80" s="9"/>
      <c r="P80" s="10"/>
    </row>
    <row r="81" spans="1:13" x14ac:dyDescent="0.2">
      <c r="A81" t="s">
        <v>17</v>
      </c>
      <c r="B81">
        <f t="shared" ref="B81" si="44">SUM(B71:B80)</f>
        <v>72</v>
      </c>
      <c r="C81">
        <f t="shared" ref="C81" si="45">SUM(C71:C80)</f>
        <v>56</v>
      </c>
      <c r="D81">
        <f t="shared" ref="D81" si="46">SUM(D71:D80)</f>
        <v>74</v>
      </c>
    </row>
    <row r="82" spans="1:13" x14ac:dyDescent="0.2">
      <c r="A82" t="s">
        <v>18</v>
      </c>
      <c r="B82">
        <v>90</v>
      </c>
      <c r="C82">
        <v>90</v>
      </c>
      <c r="D82">
        <v>90</v>
      </c>
    </row>
    <row r="83" spans="1:13" x14ac:dyDescent="0.2">
      <c r="A83" t="s">
        <v>19</v>
      </c>
      <c r="B83" s="10">
        <f t="shared" ref="B83" si="47">B81/B82</f>
        <v>0.8</v>
      </c>
      <c r="C83" s="10">
        <f t="shared" ref="C83" si="48">C81/C82</f>
        <v>0.62222222222222223</v>
      </c>
      <c r="D83" s="10">
        <f t="shared" ref="D83" si="49">D81/D82</f>
        <v>0.82222222222222219</v>
      </c>
      <c r="E83" s="10"/>
      <c r="F83" s="10"/>
      <c r="G83" s="10"/>
      <c r="H83" s="10"/>
      <c r="I83" s="10"/>
      <c r="J83" s="10"/>
      <c r="K83" s="10"/>
      <c r="L83" s="10"/>
      <c r="M83" s="10"/>
    </row>
    <row r="86" spans="1:13" ht="17" thickBot="1" x14ac:dyDescent="0.25">
      <c r="B86" t="s">
        <v>8</v>
      </c>
      <c r="C86" t="s">
        <v>10</v>
      </c>
      <c r="D86" s="1" t="s">
        <v>17</v>
      </c>
      <c r="E86" t="s">
        <v>18</v>
      </c>
      <c r="F86" t="s">
        <v>19</v>
      </c>
    </row>
    <row r="87" spans="1:13" x14ac:dyDescent="0.2">
      <c r="A87" t="s">
        <v>0</v>
      </c>
      <c r="B87" s="3">
        <v>10</v>
      </c>
      <c r="C87" s="3">
        <v>9</v>
      </c>
      <c r="D87">
        <f>SUM(B87:C87)</f>
        <v>19</v>
      </c>
      <c r="E87">
        <f>2*10</f>
        <v>20</v>
      </c>
      <c r="F87" s="10">
        <f>D87/E87</f>
        <v>0.95</v>
      </c>
      <c r="G87" s="10"/>
    </row>
    <row r="88" spans="1:13" x14ac:dyDescent="0.2">
      <c r="A88" t="s">
        <v>1</v>
      </c>
      <c r="B88">
        <v>6</v>
      </c>
      <c r="C88">
        <v>9</v>
      </c>
      <c r="D88">
        <f t="shared" ref="D88:D96" si="50">SUM(B88:C88)</f>
        <v>15</v>
      </c>
      <c r="E88">
        <f>2*10</f>
        <v>20</v>
      </c>
      <c r="F88" s="10">
        <f t="shared" ref="F88:F96" si="51">D88/E88</f>
        <v>0.75</v>
      </c>
      <c r="G88" s="10"/>
    </row>
    <row r="89" spans="1:13" x14ac:dyDescent="0.2">
      <c r="A89" t="s">
        <v>2</v>
      </c>
      <c r="B89">
        <v>8</v>
      </c>
      <c r="C89">
        <v>6</v>
      </c>
      <c r="D89">
        <f t="shared" si="50"/>
        <v>14</v>
      </c>
      <c r="E89">
        <f>2*10</f>
        <v>20</v>
      </c>
      <c r="F89" s="10">
        <f t="shared" si="51"/>
        <v>0.7</v>
      </c>
      <c r="G89" s="10"/>
    </row>
    <row r="90" spans="1:13" x14ac:dyDescent="0.2">
      <c r="A90">
        <v>150</v>
      </c>
      <c r="B90">
        <v>4</v>
      </c>
      <c r="C90">
        <v>3</v>
      </c>
      <c r="D90">
        <f t="shared" si="50"/>
        <v>7</v>
      </c>
      <c r="E90">
        <f>2*6</f>
        <v>12</v>
      </c>
      <c r="F90" s="10">
        <f t="shared" si="51"/>
        <v>0.58333333333333337</v>
      </c>
      <c r="G90" s="10"/>
    </row>
    <row r="91" spans="1:13" x14ac:dyDescent="0.2">
      <c r="A91">
        <v>250</v>
      </c>
      <c r="B91">
        <v>5</v>
      </c>
      <c r="C91">
        <v>5</v>
      </c>
      <c r="D91">
        <f t="shared" si="50"/>
        <v>10</v>
      </c>
      <c r="E91">
        <f>2*6</f>
        <v>12</v>
      </c>
      <c r="F91" s="10">
        <f t="shared" si="51"/>
        <v>0.83333333333333337</v>
      </c>
      <c r="G91" s="10"/>
    </row>
    <row r="92" spans="1:13" x14ac:dyDescent="0.2">
      <c r="A92">
        <v>500</v>
      </c>
      <c r="B92">
        <v>5</v>
      </c>
      <c r="C92">
        <v>5</v>
      </c>
      <c r="D92">
        <f t="shared" si="50"/>
        <v>10</v>
      </c>
      <c r="E92">
        <f>2*6</f>
        <v>12</v>
      </c>
      <c r="F92" s="10">
        <f t="shared" si="51"/>
        <v>0.83333333333333337</v>
      </c>
      <c r="G92" s="10"/>
    </row>
    <row r="93" spans="1:13" x14ac:dyDescent="0.2">
      <c r="A93">
        <v>750</v>
      </c>
      <c r="B93">
        <v>6</v>
      </c>
      <c r="C93">
        <v>6</v>
      </c>
      <c r="D93">
        <f t="shared" si="50"/>
        <v>12</v>
      </c>
      <c r="E93">
        <f>2*6</f>
        <v>12</v>
      </c>
      <c r="F93" s="10">
        <f t="shared" si="51"/>
        <v>1</v>
      </c>
      <c r="G93" s="10"/>
    </row>
    <row r="94" spans="1:13" x14ac:dyDescent="0.2">
      <c r="A94">
        <v>1000</v>
      </c>
      <c r="B94">
        <v>4</v>
      </c>
      <c r="C94">
        <v>6</v>
      </c>
      <c r="D94">
        <f t="shared" si="50"/>
        <v>10</v>
      </c>
      <c r="E94">
        <f>2*6</f>
        <v>12</v>
      </c>
      <c r="F94" s="10">
        <f t="shared" si="51"/>
        <v>0.83333333333333337</v>
      </c>
      <c r="G94" s="10"/>
    </row>
    <row r="95" spans="1:13" x14ac:dyDescent="0.2">
      <c r="A95" t="s">
        <v>15</v>
      </c>
      <c r="B95">
        <v>10</v>
      </c>
      <c r="C95">
        <v>11</v>
      </c>
      <c r="D95">
        <f t="shared" si="50"/>
        <v>21</v>
      </c>
      <c r="E95">
        <f>2*15</f>
        <v>30</v>
      </c>
      <c r="F95" s="10">
        <f t="shared" si="51"/>
        <v>0.7</v>
      </c>
      <c r="G95" s="10"/>
    </row>
    <row r="96" spans="1:13" ht="17" thickBot="1" x14ac:dyDescent="0.25">
      <c r="A96" t="s">
        <v>16</v>
      </c>
      <c r="B96" s="8">
        <v>14</v>
      </c>
      <c r="C96" s="8">
        <v>14</v>
      </c>
      <c r="D96">
        <f t="shared" si="50"/>
        <v>28</v>
      </c>
      <c r="E96">
        <f>2*15</f>
        <v>30</v>
      </c>
      <c r="F96" s="10">
        <f t="shared" si="51"/>
        <v>0.93333333333333335</v>
      </c>
      <c r="G96" s="10"/>
    </row>
    <row r="97" spans="1:16" x14ac:dyDescent="0.2">
      <c r="A97" t="s">
        <v>17</v>
      </c>
      <c r="B97">
        <f t="shared" ref="B97" si="52">SUM(B87:B96)</f>
        <v>72</v>
      </c>
      <c r="C97">
        <f t="shared" ref="C97" si="53">SUM(C87:C96)</f>
        <v>74</v>
      </c>
    </row>
    <row r="98" spans="1:16" x14ac:dyDescent="0.2">
      <c r="A98" t="s">
        <v>18</v>
      </c>
      <c r="B98">
        <v>90</v>
      </c>
      <c r="C98">
        <v>90</v>
      </c>
    </row>
    <row r="99" spans="1:16" x14ac:dyDescent="0.2">
      <c r="A99" t="s">
        <v>19</v>
      </c>
      <c r="B99" s="10">
        <f t="shared" ref="B99" si="54">B97/B98</f>
        <v>0.8</v>
      </c>
      <c r="C99" s="10">
        <f t="shared" ref="C99" si="55">C97/C98</f>
        <v>0.82222222222222219</v>
      </c>
      <c r="D99" s="10"/>
      <c r="E99" s="10"/>
      <c r="F99" s="10"/>
      <c r="G99" s="10"/>
    </row>
    <row r="103" spans="1:16" ht="17" thickBot="1" x14ac:dyDescent="0.25">
      <c r="B103" t="s">
        <v>25</v>
      </c>
      <c r="C103" t="s">
        <v>4</v>
      </c>
      <c r="D103" s="1" t="s">
        <v>5</v>
      </c>
      <c r="E103" t="s">
        <v>6</v>
      </c>
      <c r="F103" t="s">
        <v>13</v>
      </c>
      <c r="G103" s="1" t="s">
        <v>14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s="1" t="s">
        <v>12</v>
      </c>
      <c r="N103" s="1" t="s">
        <v>17</v>
      </c>
      <c r="O103" t="s">
        <v>18</v>
      </c>
      <c r="P103" t="s">
        <v>19</v>
      </c>
    </row>
    <row r="104" spans="1:16" x14ac:dyDescent="0.2">
      <c r="A104" t="s">
        <v>0</v>
      </c>
      <c r="B104" s="2">
        <v>7</v>
      </c>
      <c r="C104" s="3">
        <v>7</v>
      </c>
      <c r="D104" s="3">
        <v>6</v>
      </c>
      <c r="E104" s="3">
        <v>3</v>
      </c>
      <c r="F104" s="3">
        <v>4</v>
      </c>
      <c r="G104" s="3">
        <v>6</v>
      </c>
      <c r="H104" s="3">
        <v>4</v>
      </c>
      <c r="I104" s="3">
        <v>10</v>
      </c>
      <c r="J104" s="3">
        <v>9</v>
      </c>
      <c r="K104" s="3">
        <v>9</v>
      </c>
      <c r="L104" s="3">
        <v>7</v>
      </c>
      <c r="M104" s="4">
        <v>7</v>
      </c>
      <c r="N104">
        <f>SUM(B104:M104)</f>
        <v>79</v>
      </c>
      <c r="O104">
        <f>12*10</f>
        <v>120</v>
      </c>
      <c r="P104" s="10">
        <f>N104/O104</f>
        <v>0.65833333333333333</v>
      </c>
    </row>
    <row r="105" spans="1:16" x14ac:dyDescent="0.2">
      <c r="A105" t="s">
        <v>1</v>
      </c>
      <c r="B105" s="5">
        <v>9</v>
      </c>
      <c r="C105">
        <v>7</v>
      </c>
      <c r="D105">
        <v>7</v>
      </c>
      <c r="E105">
        <v>1</v>
      </c>
      <c r="F105">
        <v>4</v>
      </c>
      <c r="G105">
        <v>9</v>
      </c>
      <c r="H105">
        <v>4</v>
      </c>
      <c r="I105">
        <v>6</v>
      </c>
      <c r="J105">
        <v>4</v>
      </c>
      <c r="K105">
        <v>9</v>
      </c>
      <c r="L105">
        <v>8</v>
      </c>
      <c r="M105" s="6">
        <v>9</v>
      </c>
      <c r="N105">
        <f t="shared" ref="N105:N113" si="56">SUM(B105:M105)</f>
        <v>77</v>
      </c>
      <c r="O105">
        <f>12*10</f>
        <v>120</v>
      </c>
      <c r="P105" s="10">
        <f t="shared" ref="P105:P113" si="57">N105/O105</f>
        <v>0.64166666666666672</v>
      </c>
    </row>
    <row r="106" spans="1:16" x14ac:dyDescent="0.2">
      <c r="A106" t="s">
        <v>2</v>
      </c>
      <c r="B106" s="5">
        <v>10</v>
      </c>
      <c r="C106">
        <v>9</v>
      </c>
      <c r="D106">
        <v>7</v>
      </c>
      <c r="E106">
        <v>3</v>
      </c>
      <c r="F106">
        <v>3</v>
      </c>
      <c r="G106">
        <v>6</v>
      </c>
      <c r="H106">
        <v>3</v>
      </c>
      <c r="I106">
        <v>8</v>
      </c>
      <c r="J106">
        <v>5</v>
      </c>
      <c r="K106">
        <v>6</v>
      </c>
      <c r="L106">
        <v>7</v>
      </c>
      <c r="M106" s="6">
        <v>9</v>
      </c>
      <c r="N106">
        <f t="shared" si="56"/>
        <v>76</v>
      </c>
      <c r="O106">
        <f>12*10</f>
        <v>120</v>
      </c>
      <c r="P106" s="10">
        <f t="shared" si="57"/>
        <v>0.6333333333333333</v>
      </c>
    </row>
    <row r="107" spans="1:16" x14ac:dyDescent="0.2">
      <c r="A107">
        <v>150</v>
      </c>
      <c r="B107" s="5">
        <v>6</v>
      </c>
      <c r="C107">
        <v>6</v>
      </c>
      <c r="D107">
        <v>6</v>
      </c>
      <c r="E107">
        <v>0</v>
      </c>
      <c r="F107">
        <v>1</v>
      </c>
      <c r="G107">
        <v>2</v>
      </c>
      <c r="H107">
        <v>0</v>
      </c>
      <c r="I107">
        <v>4</v>
      </c>
      <c r="J107">
        <v>2</v>
      </c>
      <c r="K107">
        <v>3</v>
      </c>
      <c r="L107">
        <v>0</v>
      </c>
      <c r="M107" s="6">
        <v>3</v>
      </c>
      <c r="N107">
        <f t="shared" si="56"/>
        <v>33</v>
      </c>
      <c r="O107">
        <f>12*6</f>
        <v>72</v>
      </c>
      <c r="P107" s="10">
        <f t="shared" si="57"/>
        <v>0.45833333333333331</v>
      </c>
    </row>
    <row r="108" spans="1:16" x14ac:dyDescent="0.2">
      <c r="A108">
        <v>250</v>
      </c>
      <c r="B108" s="5">
        <v>6</v>
      </c>
      <c r="C108">
        <v>6</v>
      </c>
      <c r="D108">
        <v>6</v>
      </c>
      <c r="E108">
        <v>0</v>
      </c>
      <c r="F108">
        <v>0</v>
      </c>
      <c r="G108">
        <v>3</v>
      </c>
      <c r="H108">
        <v>2</v>
      </c>
      <c r="I108">
        <v>5</v>
      </c>
      <c r="J108">
        <v>4</v>
      </c>
      <c r="K108">
        <v>5</v>
      </c>
      <c r="L108">
        <v>4</v>
      </c>
      <c r="M108" s="6">
        <v>4</v>
      </c>
      <c r="N108">
        <f t="shared" si="56"/>
        <v>45</v>
      </c>
      <c r="O108">
        <f>12*6</f>
        <v>72</v>
      </c>
      <c r="P108" s="10">
        <f t="shared" si="57"/>
        <v>0.625</v>
      </c>
    </row>
    <row r="109" spans="1:16" x14ac:dyDescent="0.2">
      <c r="A109">
        <v>500</v>
      </c>
      <c r="B109" s="5">
        <v>6</v>
      </c>
      <c r="C109">
        <v>3</v>
      </c>
      <c r="D109">
        <v>3</v>
      </c>
      <c r="E109">
        <v>3</v>
      </c>
      <c r="F109">
        <v>3</v>
      </c>
      <c r="G109">
        <v>4</v>
      </c>
      <c r="H109">
        <v>3</v>
      </c>
      <c r="I109">
        <v>5</v>
      </c>
      <c r="J109">
        <v>3</v>
      </c>
      <c r="K109">
        <v>5</v>
      </c>
      <c r="L109">
        <v>6</v>
      </c>
      <c r="M109" s="6">
        <v>6</v>
      </c>
      <c r="N109">
        <f t="shared" si="56"/>
        <v>50</v>
      </c>
      <c r="O109">
        <f>12*6</f>
        <v>72</v>
      </c>
      <c r="P109" s="10">
        <f t="shared" si="57"/>
        <v>0.69444444444444442</v>
      </c>
    </row>
    <row r="110" spans="1:16" x14ac:dyDescent="0.2">
      <c r="A110">
        <v>750</v>
      </c>
      <c r="B110" s="5">
        <v>4</v>
      </c>
      <c r="C110">
        <v>4</v>
      </c>
      <c r="D110">
        <v>3</v>
      </c>
      <c r="E110">
        <v>2</v>
      </c>
      <c r="F110">
        <v>3</v>
      </c>
      <c r="G110">
        <v>6</v>
      </c>
      <c r="H110">
        <v>4</v>
      </c>
      <c r="I110">
        <v>6</v>
      </c>
      <c r="J110">
        <v>5</v>
      </c>
      <c r="K110">
        <v>6</v>
      </c>
      <c r="L110">
        <v>6</v>
      </c>
      <c r="M110" s="6">
        <v>6</v>
      </c>
      <c r="N110">
        <f t="shared" si="56"/>
        <v>55</v>
      </c>
      <c r="O110">
        <f>12*6</f>
        <v>72</v>
      </c>
      <c r="P110" s="10">
        <f t="shared" si="57"/>
        <v>0.76388888888888884</v>
      </c>
    </row>
    <row r="111" spans="1:16" x14ac:dyDescent="0.2">
      <c r="A111">
        <v>1000</v>
      </c>
      <c r="B111" s="5">
        <v>5</v>
      </c>
      <c r="C111">
        <v>4</v>
      </c>
      <c r="D111">
        <v>2</v>
      </c>
      <c r="E111">
        <v>2</v>
      </c>
      <c r="F111">
        <v>4</v>
      </c>
      <c r="G111">
        <v>6</v>
      </c>
      <c r="H111">
        <v>2</v>
      </c>
      <c r="I111">
        <v>4</v>
      </c>
      <c r="J111">
        <v>5</v>
      </c>
      <c r="K111">
        <v>6</v>
      </c>
      <c r="L111">
        <v>6</v>
      </c>
      <c r="M111" s="6">
        <v>6</v>
      </c>
      <c r="N111">
        <f t="shared" si="56"/>
        <v>52</v>
      </c>
      <c r="O111">
        <f>12*6</f>
        <v>72</v>
      </c>
      <c r="P111" s="10">
        <f t="shared" si="57"/>
        <v>0.72222222222222221</v>
      </c>
    </row>
    <row r="112" spans="1:16" x14ac:dyDescent="0.2">
      <c r="A112" t="s">
        <v>15</v>
      </c>
      <c r="B112" s="5">
        <v>14</v>
      </c>
      <c r="C112">
        <v>12</v>
      </c>
      <c r="D112">
        <v>14</v>
      </c>
      <c r="E112">
        <v>0</v>
      </c>
      <c r="F112">
        <v>2</v>
      </c>
      <c r="G112">
        <v>9</v>
      </c>
      <c r="H112">
        <v>1</v>
      </c>
      <c r="I112">
        <v>10</v>
      </c>
      <c r="J112">
        <v>5</v>
      </c>
      <c r="K112">
        <v>11</v>
      </c>
      <c r="L112">
        <v>10</v>
      </c>
      <c r="M112" s="6">
        <v>12</v>
      </c>
      <c r="N112">
        <f t="shared" si="56"/>
        <v>100</v>
      </c>
      <c r="O112">
        <f>12*15</f>
        <v>180</v>
      </c>
      <c r="P112" s="10">
        <f t="shared" si="57"/>
        <v>0.55555555555555558</v>
      </c>
    </row>
    <row r="113" spans="1:16" ht="17" thickBot="1" x14ac:dyDescent="0.25">
      <c r="A113" t="s">
        <v>16</v>
      </c>
      <c r="B113" s="7">
        <v>12</v>
      </c>
      <c r="C113" s="8">
        <v>11</v>
      </c>
      <c r="D113" s="8">
        <v>6</v>
      </c>
      <c r="E113" s="8">
        <v>7</v>
      </c>
      <c r="F113" s="8">
        <v>9</v>
      </c>
      <c r="G113" s="8">
        <v>12</v>
      </c>
      <c r="H113" s="8">
        <v>10</v>
      </c>
      <c r="I113" s="8">
        <v>14</v>
      </c>
      <c r="J113" s="8">
        <v>14</v>
      </c>
      <c r="K113" s="8">
        <v>14</v>
      </c>
      <c r="L113" s="8">
        <v>12</v>
      </c>
      <c r="M113" s="9">
        <v>13</v>
      </c>
      <c r="N113">
        <f t="shared" si="56"/>
        <v>134</v>
      </c>
      <c r="O113">
        <f>12*15</f>
        <v>180</v>
      </c>
      <c r="P113" s="10">
        <f t="shared" si="57"/>
        <v>0.74444444444444446</v>
      </c>
    </row>
    <row r="114" spans="1:16" x14ac:dyDescent="0.2">
      <c r="A114" t="s">
        <v>17</v>
      </c>
      <c r="B114">
        <f>SUM(B104:B113)</f>
        <v>79</v>
      </c>
      <c r="C114">
        <f t="shared" ref="C114" si="58">SUM(C104:C113)</f>
        <v>69</v>
      </c>
      <c r="D114">
        <f t="shared" ref="D114" si="59">SUM(D104:D113)</f>
        <v>60</v>
      </c>
      <c r="E114">
        <f t="shared" ref="E114" si="60">SUM(E104:E113)</f>
        <v>21</v>
      </c>
      <c r="F114">
        <f t="shared" ref="F114" si="61">SUM(F104:F113)</f>
        <v>33</v>
      </c>
      <c r="G114">
        <f t="shared" ref="G114" si="62">SUM(G104:G113)</f>
        <v>63</v>
      </c>
      <c r="H114">
        <f t="shared" ref="H114" si="63">SUM(H104:H113)</f>
        <v>33</v>
      </c>
      <c r="I114">
        <f t="shared" ref="I114" si="64">SUM(I104:I113)</f>
        <v>72</v>
      </c>
      <c r="J114">
        <f t="shared" ref="J114" si="65">SUM(J104:J113)</f>
        <v>56</v>
      </c>
      <c r="K114">
        <f t="shared" ref="K114" si="66">SUM(K104:K113)</f>
        <v>74</v>
      </c>
      <c r="L114">
        <f t="shared" ref="L114" si="67">SUM(L104:L113)</f>
        <v>66</v>
      </c>
      <c r="M114">
        <f t="shared" ref="M114" si="68">SUM(M104:M113)</f>
        <v>75</v>
      </c>
    </row>
    <row r="115" spans="1:16" x14ac:dyDescent="0.2">
      <c r="A115" t="s">
        <v>18</v>
      </c>
      <c r="B115">
        <v>90</v>
      </c>
      <c r="C115">
        <v>90</v>
      </c>
      <c r="D115">
        <v>90</v>
      </c>
      <c r="E115">
        <v>90</v>
      </c>
      <c r="F115">
        <v>90</v>
      </c>
      <c r="G115">
        <v>90</v>
      </c>
      <c r="H115">
        <v>90</v>
      </c>
      <c r="I115">
        <v>90</v>
      </c>
      <c r="J115">
        <v>90</v>
      </c>
      <c r="K115">
        <v>90</v>
      </c>
      <c r="L115">
        <v>90</v>
      </c>
      <c r="M115">
        <v>90</v>
      </c>
    </row>
    <row r="116" spans="1:16" x14ac:dyDescent="0.2">
      <c r="A116" t="s">
        <v>19</v>
      </c>
      <c r="B116" s="10">
        <f>B114/B115</f>
        <v>0.87777777777777777</v>
      </c>
      <c r="C116" s="10">
        <f t="shared" ref="C116" si="69">C114/C115</f>
        <v>0.76666666666666672</v>
      </c>
      <c r="D116" s="10">
        <f t="shared" ref="D116" si="70">D114/D115</f>
        <v>0.66666666666666663</v>
      </c>
      <c r="E116" s="10">
        <f t="shared" ref="E116" si="71">E114/E115</f>
        <v>0.23333333333333334</v>
      </c>
      <c r="F116" s="10">
        <f t="shared" ref="F116" si="72">F114/F115</f>
        <v>0.36666666666666664</v>
      </c>
      <c r="G116" s="10">
        <f t="shared" ref="G116" si="73">G114/G115</f>
        <v>0.7</v>
      </c>
      <c r="H116" s="10">
        <f t="shared" ref="H116" si="74">H114/H115</f>
        <v>0.36666666666666664</v>
      </c>
      <c r="I116" s="10">
        <f t="shared" ref="I116" si="75">I114/I115</f>
        <v>0.8</v>
      </c>
      <c r="J116" s="10">
        <f t="shared" ref="J116" si="76">J114/J115</f>
        <v>0.62222222222222223</v>
      </c>
      <c r="K116" s="10">
        <f t="shared" ref="K116" si="77">K114/K115</f>
        <v>0.82222222222222219</v>
      </c>
      <c r="L116" s="10">
        <f t="shared" ref="L116" si="78">L114/L115</f>
        <v>0.73333333333333328</v>
      </c>
      <c r="M116" s="10">
        <f t="shared" ref="M116" si="79">M114/M115</f>
        <v>0.83333333333333337</v>
      </c>
    </row>
    <row r="123" spans="1:16" ht="17" thickBot="1" x14ac:dyDescent="0.25">
      <c r="B123" t="s">
        <v>4</v>
      </c>
      <c r="C123" s="1" t="s">
        <v>25</v>
      </c>
      <c r="D123" s="1" t="s">
        <v>14</v>
      </c>
      <c r="E123" t="s">
        <v>8</v>
      </c>
      <c r="F123" t="s">
        <v>10</v>
      </c>
      <c r="G123" s="1" t="s">
        <v>12</v>
      </c>
      <c r="H123" s="1" t="s">
        <v>17</v>
      </c>
      <c r="I123" t="s">
        <v>18</v>
      </c>
      <c r="J123" t="s">
        <v>19</v>
      </c>
    </row>
    <row r="124" spans="1:16" x14ac:dyDescent="0.2">
      <c r="A124" t="s">
        <v>0</v>
      </c>
      <c r="B124" s="2">
        <v>7</v>
      </c>
      <c r="C124" s="2">
        <v>7</v>
      </c>
      <c r="D124" s="3">
        <v>6</v>
      </c>
      <c r="E124" s="3">
        <v>10</v>
      </c>
      <c r="F124" s="3">
        <v>9</v>
      </c>
      <c r="G124" s="4">
        <v>7</v>
      </c>
      <c r="H124">
        <f>SUM(B124:G124)</f>
        <v>46</v>
      </c>
      <c r="I124">
        <v>60</v>
      </c>
      <c r="J124" s="10">
        <f>H124/I124</f>
        <v>0.76666666666666672</v>
      </c>
    </row>
    <row r="125" spans="1:16" x14ac:dyDescent="0.2">
      <c r="A125" t="s">
        <v>1</v>
      </c>
      <c r="B125" s="5">
        <v>6</v>
      </c>
      <c r="C125" s="5">
        <v>9</v>
      </c>
      <c r="D125">
        <v>9</v>
      </c>
      <c r="E125">
        <v>6</v>
      </c>
      <c r="F125">
        <v>9</v>
      </c>
      <c r="G125" s="6">
        <v>9</v>
      </c>
      <c r="H125">
        <f t="shared" ref="H125:H133" si="80">SUM(B125:G125)</f>
        <v>48</v>
      </c>
      <c r="I125">
        <v>60</v>
      </c>
      <c r="J125" s="10">
        <f t="shared" ref="J125:J133" si="81">H125/I125</f>
        <v>0.8</v>
      </c>
    </row>
    <row r="126" spans="1:16" x14ac:dyDescent="0.2">
      <c r="A126" t="s">
        <v>2</v>
      </c>
      <c r="B126" s="5">
        <v>8</v>
      </c>
      <c r="C126" s="5">
        <v>10</v>
      </c>
      <c r="D126">
        <v>6</v>
      </c>
      <c r="E126">
        <v>8</v>
      </c>
      <c r="F126">
        <v>6</v>
      </c>
      <c r="G126" s="6">
        <v>9</v>
      </c>
      <c r="H126">
        <f t="shared" si="80"/>
        <v>47</v>
      </c>
      <c r="I126">
        <v>60</v>
      </c>
      <c r="J126" s="10">
        <f t="shared" si="81"/>
        <v>0.78333333333333333</v>
      </c>
    </row>
    <row r="127" spans="1:16" x14ac:dyDescent="0.2">
      <c r="A127">
        <v>150</v>
      </c>
      <c r="B127" s="5">
        <v>6</v>
      </c>
      <c r="C127" s="5">
        <v>6</v>
      </c>
      <c r="D127">
        <v>2</v>
      </c>
      <c r="E127">
        <v>4</v>
      </c>
      <c r="F127">
        <v>3</v>
      </c>
      <c r="G127" s="6">
        <v>3</v>
      </c>
      <c r="H127">
        <f t="shared" si="80"/>
        <v>24</v>
      </c>
      <c r="I127">
        <v>36</v>
      </c>
      <c r="J127" s="10">
        <f t="shared" si="81"/>
        <v>0.66666666666666663</v>
      </c>
    </row>
    <row r="128" spans="1:16" x14ac:dyDescent="0.2">
      <c r="A128">
        <v>250</v>
      </c>
      <c r="B128" s="5">
        <v>6</v>
      </c>
      <c r="C128" s="5">
        <v>6</v>
      </c>
      <c r="D128">
        <v>3</v>
      </c>
      <c r="E128">
        <v>5</v>
      </c>
      <c r="F128">
        <v>5</v>
      </c>
      <c r="G128" s="6">
        <v>4</v>
      </c>
      <c r="H128">
        <f t="shared" si="80"/>
        <v>29</v>
      </c>
      <c r="I128">
        <v>36</v>
      </c>
      <c r="J128" s="10">
        <f t="shared" si="81"/>
        <v>0.80555555555555558</v>
      </c>
    </row>
    <row r="129" spans="1:10" x14ac:dyDescent="0.2">
      <c r="A129">
        <v>500</v>
      </c>
      <c r="B129" s="5">
        <v>2</v>
      </c>
      <c r="C129" s="5">
        <v>6</v>
      </c>
      <c r="D129">
        <v>4</v>
      </c>
      <c r="E129">
        <v>5</v>
      </c>
      <c r="F129">
        <v>5</v>
      </c>
      <c r="G129" s="6">
        <v>6</v>
      </c>
      <c r="H129">
        <f t="shared" si="80"/>
        <v>28</v>
      </c>
      <c r="I129">
        <v>36</v>
      </c>
      <c r="J129" s="10">
        <f t="shared" si="81"/>
        <v>0.77777777777777779</v>
      </c>
    </row>
    <row r="130" spans="1:10" x14ac:dyDescent="0.2">
      <c r="A130">
        <v>750</v>
      </c>
      <c r="B130" s="5">
        <v>3</v>
      </c>
      <c r="C130" s="5">
        <v>4</v>
      </c>
      <c r="D130">
        <v>6</v>
      </c>
      <c r="E130">
        <v>6</v>
      </c>
      <c r="F130">
        <v>6</v>
      </c>
      <c r="G130" s="6">
        <v>6</v>
      </c>
      <c r="H130">
        <f t="shared" si="80"/>
        <v>31</v>
      </c>
      <c r="I130">
        <v>36</v>
      </c>
      <c r="J130" s="10">
        <f t="shared" si="81"/>
        <v>0.86111111111111116</v>
      </c>
    </row>
    <row r="131" spans="1:10" x14ac:dyDescent="0.2">
      <c r="A131">
        <v>1000</v>
      </c>
      <c r="B131" s="5">
        <v>4</v>
      </c>
      <c r="C131" s="5">
        <v>5</v>
      </c>
      <c r="D131">
        <v>6</v>
      </c>
      <c r="E131">
        <v>4</v>
      </c>
      <c r="F131">
        <v>6</v>
      </c>
      <c r="G131" s="6">
        <v>6</v>
      </c>
      <c r="H131">
        <f t="shared" si="80"/>
        <v>31</v>
      </c>
      <c r="I131">
        <v>36</v>
      </c>
      <c r="J131" s="10">
        <f t="shared" si="81"/>
        <v>0.86111111111111116</v>
      </c>
    </row>
    <row r="132" spans="1:10" x14ac:dyDescent="0.2">
      <c r="A132" t="s">
        <v>15</v>
      </c>
      <c r="B132" s="5">
        <v>11</v>
      </c>
      <c r="C132" s="5">
        <v>14</v>
      </c>
      <c r="D132">
        <v>9</v>
      </c>
      <c r="E132">
        <v>10</v>
      </c>
      <c r="F132">
        <v>11</v>
      </c>
      <c r="G132" s="6">
        <v>12</v>
      </c>
      <c r="H132">
        <f t="shared" si="80"/>
        <v>67</v>
      </c>
      <c r="I132">
        <v>90</v>
      </c>
      <c r="J132" s="10">
        <f t="shared" si="81"/>
        <v>0.74444444444444446</v>
      </c>
    </row>
    <row r="133" spans="1:10" ht="17" thickBot="1" x14ac:dyDescent="0.25">
      <c r="A133" t="s">
        <v>16</v>
      </c>
      <c r="B133" s="7">
        <v>10</v>
      </c>
      <c r="C133" s="7">
        <v>12</v>
      </c>
      <c r="D133" s="8">
        <v>12</v>
      </c>
      <c r="E133" s="8">
        <v>14</v>
      </c>
      <c r="F133" s="8">
        <v>14</v>
      </c>
      <c r="G133" s="9">
        <v>13</v>
      </c>
      <c r="H133">
        <f t="shared" si="80"/>
        <v>75</v>
      </c>
      <c r="I133">
        <v>90</v>
      </c>
      <c r="J133" s="10">
        <f t="shared" si="81"/>
        <v>0.83333333333333337</v>
      </c>
    </row>
    <row r="134" spans="1:10" x14ac:dyDescent="0.2">
      <c r="A134" t="s">
        <v>17</v>
      </c>
      <c r="B134">
        <f>SUM(B124:B133)</f>
        <v>63</v>
      </c>
      <c r="C134">
        <f t="shared" ref="C134" si="82">SUM(C124:C133)</f>
        <v>79</v>
      </c>
      <c r="D134">
        <f t="shared" ref="D134" si="83">SUM(D124:D133)</f>
        <v>63</v>
      </c>
      <c r="E134">
        <f t="shared" ref="E134" si="84">SUM(E124:E133)</f>
        <v>72</v>
      </c>
      <c r="F134">
        <f t="shared" ref="F134" si="85">SUM(F124:F133)</f>
        <v>74</v>
      </c>
      <c r="G134">
        <f t="shared" ref="G134" si="86">SUM(G124:G133)</f>
        <v>75</v>
      </c>
    </row>
    <row r="135" spans="1:10" x14ac:dyDescent="0.2">
      <c r="A135" t="s">
        <v>18</v>
      </c>
      <c r="B135">
        <v>90</v>
      </c>
      <c r="C135">
        <v>90</v>
      </c>
      <c r="D135">
        <v>90</v>
      </c>
      <c r="E135">
        <v>90</v>
      </c>
      <c r="F135">
        <v>90</v>
      </c>
      <c r="G135">
        <v>90</v>
      </c>
    </row>
    <row r="136" spans="1:10" x14ac:dyDescent="0.2">
      <c r="A136" t="s">
        <v>19</v>
      </c>
      <c r="B136" s="10">
        <f>B134/B135</f>
        <v>0.7</v>
      </c>
      <c r="C136" s="10">
        <f t="shared" ref="C136" si="87">C134/C135</f>
        <v>0.87777777777777777</v>
      </c>
      <c r="D136" s="10">
        <f t="shared" ref="D136" si="88">D134/D135</f>
        <v>0.7</v>
      </c>
      <c r="E136" s="10">
        <f t="shared" ref="E136" si="89">E134/E135</f>
        <v>0.8</v>
      </c>
      <c r="F136" s="10">
        <f t="shared" ref="F136" si="90">F134/F135</f>
        <v>0.82222222222222219</v>
      </c>
      <c r="G136" s="10">
        <f t="shared" ref="G136" si="91">G134/G135</f>
        <v>0.83333333333333337</v>
      </c>
      <c r="H136" s="10"/>
      <c r="I136" s="10"/>
    </row>
    <row r="141" spans="1:10" ht="17" thickBot="1" x14ac:dyDescent="0.25">
      <c r="B141" s="1" t="s">
        <v>12</v>
      </c>
      <c r="C141" s="1" t="s">
        <v>17</v>
      </c>
      <c r="D141" t="s">
        <v>18</v>
      </c>
      <c r="E141" t="s">
        <v>19</v>
      </c>
      <c r="G141" s="1"/>
      <c r="H141" s="1"/>
    </row>
    <row r="142" spans="1:10" x14ac:dyDescent="0.2">
      <c r="A142" t="s">
        <v>0</v>
      </c>
      <c r="B142" s="4">
        <v>7</v>
      </c>
      <c r="C142">
        <f>SUM(B142)</f>
        <v>7</v>
      </c>
      <c r="D142">
        <v>10</v>
      </c>
      <c r="E142" s="10">
        <f>C142/D142</f>
        <v>0.7</v>
      </c>
      <c r="F142" s="3"/>
      <c r="G142" s="4"/>
      <c r="J142" s="10"/>
    </row>
    <row r="143" spans="1:10" x14ac:dyDescent="0.2">
      <c r="A143" t="s">
        <v>1</v>
      </c>
      <c r="B143" s="6">
        <v>9</v>
      </c>
      <c r="C143">
        <f t="shared" ref="C143:C151" si="92">SUM(B143)</f>
        <v>9</v>
      </c>
      <c r="D143">
        <v>10</v>
      </c>
      <c r="E143" s="10">
        <f t="shared" ref="E143:E151" si="93">C143/D143</f>
        <v>0.9</v>
      </c>
      <c r="G143" s="6"/>
      <c r="J143" s="10"/>
    </row>
    <row r="144" spans="1:10" x14ac:dyDescent="0.2">
      <c r="A144" t="s">
        <v>2</v>
      </c>
      <c r="B144" s="6">
        <v>9</v>
      </c>
      <c r="C144">
        <f t="shared" si="92"/>
        <v>9</v>
      </c>
      <c r="D144">
        <v>10</v>
      </c>
      <c r="E144" s="10">
        <f t="shared" si="93"/>
        <v>0.9</v>
      </c>
      <c r="G144" s="6"/>
      <c r="J144" s="10"/>
    </row>
    <row r="145" spans="1:10" x14ac:dyDescent="0.2">
      <c r="A145">
        <v>150</v>
      </c>
      <c r="B145" s="6">
        <v>3</v>
      </c>
      <c r="C145">
        <f t="shared" si="92"/>
        <v>3</v>
      </c>
      <c r="D145">
        <v>6</v>
      </c>
      <c r="E145" s="10">
        <f t="shared" si="93"/>
        <v>0.5</v>
      </c>
      <c r="G145" s="6"/>
      <c r="J145" s="10"/>
    </row>
    <row r="146" spans="1:10" x14ac:dyDescent="0.2">
      <c r="A146">
        <v>250</v>
      </c>
      <c r="B146" s="6">
        <v>4</v>
      </c>
      <c r="C146">
        <f t="shared" si="92"/>
        <v>4</v>
      </c>
      <c r="D146">
        <v>6</v>
      </c>
      <c r="E146" s="10">
        <f t="shared" si="93"/>
        <v>0.66666666666666663</v>
      </c>
      <c r="G146" s="6"/>
      <c r="J146" s="10"/>
    </row>
    <row r="147" spans="1:10" x14ac:dyDescent="0.2">
      <c r="A147">
        <v>500</v>
      </c>
      <c r="B147" s="6">
        <v>6</v>
      </c>
      <c r="C147">
        <f t="shared" si="92"/>
        <v>6</v>
      </c>
      <c r="D147">
        <v>6</v>
      </c>
      <c r="E147" s="10">
        <f t="shared" si="93"/>
        <v>1</v>
      </c>
      <c r="G147" s="6"/>
      <c r="J147" s="10"/>
    </row>
    <row r="148" spans="1:10" x14ac:dyDescent="0.2">
      <c r="A148">
        <v>750</v>
      </c>
      <c r="B148" s="6">
        <v>6</v>
      </c>
      <c r="C148">
        <f t="shared" si="92"/>
        <v>6</v>
      </c>
      <c r="D148">
        <v>6</v>
      </c>
      <c r="E148" s="10">
        <f t="shared" si="93"/>
        <v>1</v>
      </c>
      <c r="G148" s="6"/>
      <c r="J148" s="10"/>
    </row>
    <row r="149" spans="1:10" x14ac:dyDescent="0.2">
      <c r="A149">
        <v>1000</v>
      </c>
      <c r="B149" s="6">
        <v>6</v>
      </c>
      <c r="C149">
        <f t="shared" si="92"/>
        <v>6</v>
      </c>
      <c r="D149">
        <v>6</v>
      </c>
      <c r="E149" s="10">
        <f t="shared" si="93"/>
        <v>1</v>
      </c>
      <c r="G149" s="6"/>
      <c r="J149" s="10"/>
    </row>
    <row r="150" spans="1:10" x14ac:dyDescent="0.2">
      <c r="A150" t="s">
        <v>15</v>
      </c>
      <c r="B150" s="6">
        <v>12</v>
      </c>
      <c r="C150">
        <f t="shared" si="92"/>
        <v>12</v>
      </c>
      <c r="D150">
        <v>15</v>
      </c>
      <c r="E150" s="10">
        <f t="shared" si="93"/>
        <v>0.8</v>
      </c>
      <c r="G150" s="6"/>
      <c r="J150" s="10"/>
    </row>
    <row r="151" spans="1:10" ht="17" thickBot="1" x14ac:dyDescent="0.25">
      <c r="A151" t="s">
        <v>16</v>
      </c>
      <c r="B151" s="9">
        <v>13</v>
      </c>
      <c r="C151">
        <f t="shared" si="92"/>
        <v>13</v>
      </c>
      <c r="D151">
        <v>15</v>
      </c>
      <c r="E151" s="10">
        <f t="shared" si="93"/>
        <v>0.8666666666666667</v>
      </c>
      <c r="F151" s="8"/>
      <c r="G151" s="9"/>
      <c r="J151" s="10"/>
    </row>
    <row r="152" spans="1:10" x14ac:dyDescent="0.2">
      <c r="A152" t="s">
        <v>17</v>
      </c>
      <c r="B152">
        <f>SUM(B142:B151)</f>
        <v>75</v>
      </c>
      <c r="C152">
        <f t="shared" ref="C152" si="94">SUM(C142:C151)</f>
        <v>75</v>
      </c>
      <c r="D152">
        <f t="shared" ref="D152" si="95">SUM(D142:D151)</f>
        <v>90</v>
      </c>
    </row>
    <row r="153" spans="1:10" x14ac:dyDescent="0.2">
      <c r="A153" t="s">
        <v>18</v>
      </c>
      <c r="B153">
        <v>90</v>
      </c>
      <c r="C153">
        <v>90</v>
      </c>
      <c r="D153">
        <v>90</v>
      </c>
    </row>
    <row r="154" spans="1:10" x14ac:dyDescent="0.2">
      <c r="A154" t="s">
        <v>19</v>
      </c>
      <c r="B154" s="10">
        <f>B152/B153</f>
        <v>0.83333333333333337</v>
      </c>
      <c r="C154" s="10"/>
      <c r="D154" s="10"/>
      <c r="E154" s="10"/>
      <c r="F154" s="10"/>
      <c r="G154" s="10"/>
      <c r="H154" s="10"/>
      <c r="I154" s="10"/>
    </row>
    <row r="157" spans="1:10" ht="17" thickBot="1" x14ac:dyDescent="0.25">
      <c r="B157" t="s">
        <v>25</v>
      </c>
      <c r="C157" t="s">
        <v>4</v>
      </c>
      <c r="D157" s="1" t="s">
        <v>5</v>
      </c>
      <c r="E157" s="1" t="s">
        <v>14</v>
      </c>
      <c r="F157" s="1" t="s">
        <v>17</v>
      </c>
      <c r="G157" t="s">
        <v>18</v>
      </c>
      <c r="H157" t="s">
        <v>19</v>
      </c>
    </row>
    <row r="158" spans="1:10" x14ac:dyDescent="0.2">
      <c r="A158" t="s">
        <v>0</v>
      </c>
      <c r="B158" s="2">
        <v>7</v>
      </c>
      <c r="C158" s="3">
        <v>7</v>
      </c>
      <c r="D158" s="3">
        <v>6</v>
      </c>
      <c r="E158" s="3">
        <v>6</v>
      </c>
      <c r="F158">
        <f t="shared" ref="F158:F167" si="96">SUM(B158:E158)</f>
        <v>26</v>
      </c>
      <c r="G158">
        <v>40</v>
      </c>
      <c r="H158" s="10">
        <f>F158/G158</f>
        <v>0.65</v>
      </c>
      <c r="J158" s="10"/>
    </row>
    <row r="159" spans="1:10" x14ac:dyDescent="0.2">
      <c r="A159" t="s">
        <v>1</v>
      </c>
      <c r="B159" s="5">
        <v>9</v>
      </c>
      <c r="C159">
        <v>7</v>
      </c>
      <c r="D159">
        <v>7</v>
      </c>
      <c r="E159">
        <v>9</v>
      </c>
      <c r="F159">
        <f t="shared" si="96"/>
        <v>32</v>
      </c>
      <c r="G159">
        <v>40</v>
      </c>
      <c r="H159" s="10">
        <f t="shared" ref="H159:H167" si="97">F159/G159</f>
        <v>0.8</v>
      </c>
      <c r="J159" s="10"/>
    </row>
    <row r="160" spans="1:10" x14ac:dyDescent="0.2">
      <c r="A160" t="s">
        <v>2</v>
      </c>
      <c r="B160" s="5">
        <v>10</v>
      </c>
      <c r="C160">
        <v>9</v>
      </c>
      <c r="D160">
        <v>7</v>
      </c>
      <c r="E160">
        <v>6</v>
      </c>
      <c r="F160">
        <f t="shared" si="96"/>
        <v>32</v>
      </c>
      <c r="G160">
        <v>40</v>
      </c>
      <c r="H160" s="10">
        <f t="shared" si="97"/>
        <v>0.8</v>
      </c>
      <c r="J160" s="10"/>
    </row>
    <row r="161" spans="1:16" x14ac:dyDescent="0.2">
      <c r="A161">
        <v>150</v>
      </c>
      <c r="B161" s="5">
        <v>6</v>
      </c>
      <c r="C161">
        <v>6</v>
      </c>
      <c r="D161">
        <v>6</v>
      </c>
      <c r="E161">
        <v>2</v>
      </c>
      <c r="F161">
        <f t="shared" si="96"/>
        <v>20</v>
      </c>
      <c r="G161">
        <v>24</v>
      </c>
      <c r="H161" s="10">
        <f t="shared" si="97"/>
        <v>0.83333333333333337</v>
      </c>
      <c r="J161" s="10"/>
    </row>
    <row r="162" spans="1:16" x14ac:dyDescent="0.2">
      <c r="A162">
        <v>250</v>
      </c>
      <c r="B162" s="5">
        <v>6</v>
      </c>
      <c r="C162">
        <v>6</v>
      </c>
      <c r="D162">
        <v>6</v>
      </c>
      <c r="E162">
        <v>3</v>
      </c>
      <c r="F162">
        <f t="shared" si="96"/>
        <v>21</v>
      </c>
      <c r="G162">
        <v>24</v>
      </c>
      <c r="H162" s="10">
        <f t="shared" si="97"/>
        <v>0.875</v>
      </c>
      <c r="J162" s="10"/>
    </row>
    <row r="163" spans="1:16" x14ac:dyDescent="0.2">
      <c r="A163">
        <v>500</v>
      </c>
      <c r="B163" s="5">
        <v>6</v>
      </c>
      <c r="C163">
        <v>3</v>
      </c>
      <c r="D163">
        <v>3</v>
      </c>
      <c r="E163">
        <v>4</v>
      </c>
      <c r="F163">
        <f t="shared" si="96"/>
        <v>16</v>
      </c>
      <c r="G163">
        <v>24</v>
      </c>
      <c r="H163" s="10">
        <f t="shared" si="97"/>
        <v>0.66666666666666663</v>
      </c>
      <c r="J163" s="10"/>
    </row>
    <row r="164" spans="1:16" x14ac:dyDescent="0.2">
      <c r="A164">
        <v>750</v>
      </c>
      <c r="B164" s="5">
        <v>4</v>
      </c>
      <c r="C164">
        <v>4</v>
      </c>
      <c r="D164">
        <v>3</v>
      </c>
      <c r="E164">
        <v>6</v>
      </c>
      <c r="F164">
        <f t="shared" si="96"/>
        <v>17</v>
      </c>
      <c r="G164">
        <v>24</v>
      </c>
      <c r="H164" s="10">
        <f t="shared" si="97"/>
        <v>0.70833333333333337</v>
      </c>
      <c r="J164" s="10"/>
    </row>
    <row r="165" spans="1:16" x14ac:dyDescent="0.2">
      <c r="A165">
        <v>1000</v>
      </c>
      <c r="B165" s="5">
        <v>5</v>
      </c>
      <c r="C165">
        <v>4</v>
      </c>
      <c r="D165">
        <v>2</v>
      </c>
      <c r="E165">
        <v>6</v>
      </c>
      <c r="F165">
        <f t="shared" si="96"/>
        <v>17</v>
      </c>
      <c r="G165">
        <v>24</v>
      </c>
      <c r="H165" s="10">
        <f t="shared" si="97"/>
        <v>0.70833333333333337</v>
      </c>
      <c r="J165" s="10"/>
    </row>
    <row r="166" spans="1:16" x14ac:dyDescent="0.2">
      <c r="A166" t="s">
        <v>15</v>
      </c>
      <c r="B166" s="5">
        <v>14</v>
      </c>
      <c r="C166">
        <v>12</v>
      </c>
      <c r="D166">
        <v>14</v>
      </c>
      <c r="E166">
        <v>9</v>
      </c>
      <c r="F166">
        <f t="shared" si="96"/>
        <v>49</v>
      </c>
      <c r="G166">
        <v>60</v>
      </c>
      <c r="H166" s="10">
        <f t="shared" si="97"/>
        <v>0.81666666666666665</v>
      </c>
      <c r="J166" s="10"/>
    </row>
    <row r="167" spans="1:16" ht="17" thickBot="1" x14ac:dyDescent="0.25">
      <c r="A167" t="s">
        <v>16</v>
      </c>
      <c r="B167" s="7">
        <v>12</v>
      </c>
      <c r="C167" s="8">
        <v>11</v>
      </c>
      <c r="D167" s="8">
        <v>6</v>
      </c>
      <c r="E167" s="8">
        <v>12</v>
      </c>
      <c r="F167">
        <f t="shared" si="96"/>
        <v>41</v>
      </c>
      <c r="G167">
        <v>60</v>
      </c>
      <c r="H167" s="10">
        <f t="shared" si="97"/>
        <v>0.68333333333333335</v>
      </c>
      <c r="J167" s="10"/>
    </row>
    <row r="168" spans="1:16" x14ac:dyDescent="0.2">
      <c r="A168" t="s">
        <v>17</v>
      </c>
      <c r="B168">
        <f>SUM(B158:B167)</f>
        <v>79</v>
      </c>
      <c r="C168">
        <f t="shared" ref="C168" si="98">SUM(C158:C167)</f>
        <v>69</v>
      </c>
      <c r="D168">
        <f t="shared" ref="D168" si="99">SUM(D158:D167)</f>
        <v>60</v>
      </c>
      <c r="E168">
        <f t="shared" ref="E168" si="100">SUM(E158:E167)</f>
        <v>63</v>
      </c>
    </row>
    <row r="169" spans="1:16" x14ac:dyDescent="0.2">
      <c r="A169" t="s">
        <v>18</v>
      </c>
      <c r="B169">
        <v>90</v>
      </c>
      <c r="C169">
        <v>90</v>
      </c>
      <c r="D169">
        <v>90</v>
      </c>
      <c r="E169">
        <v>90</v>
      </c>
    </row>
    <row r="170" spans="1:16" x14ac:dyDescent="0.2">
      <c r="A170" t="s">
        <v>19</v>
      </c>
      <c r="B170" s="10">
        <f>B168/B169</f>
        <v>0.87777777777777777</v>
      </c>
      <c r="C170" s="10">
        <f t="shared" ref="C170" si="101">C168/C169</f>
        <v>0.76666666666666672</v>
      </c>
      <c r="D170" s="10">
        <f t="shared" ref="D170" si="102">D168/D169</f>
        <v>0.66666666666666663</v>
      </c>
      <c r="E170" s="10">
        <f t="shared" ref="E170" si="103">E168/E169</f>
        <v>0.7</v>
      </c>
      <c r="F170" s="10"/>
      <c r="G170" s="10"/>
    </row>
    <row r="174" spans="1:16" ht="17" thickBot="1" x14ac:dyDescent="0.25">
      <c r="B174" s="1" t="s">
        <v>5</v>
      </c>
      <c r="C174" t="s">
        <v>6</v>
      </c>
      <c r="D174" t="s">
        <v>13</v>
      </c>
      <c r="E174" t="s">
        <v>7</v>
      </c>
      <c r="F174" t="s">
        <v>9</v>
      </c>
      <c r="G174" t="s">
        <v>11</v>
      </c>
      <c r="H174" s="1" t="s">
        <v>17</v>
      </c>
      <c r="I174" t="s">
        <v>18</v>
      </c>
      <c r="J174" t="s">
        <v>19</v>
      </c>
      <c r="M174" s="1"/>
      <c r="N174" s="1"/>
    </row>
    <row r="175" spans="1:16" x14ac:dyDescent="0.2">
      <c r="A175" t="s">
        <v>0</v>
      </c>
      <c r="B175" s="3">
        <v>6</v>
      </c>
      <c r="C175" s="3">
        <v>3</v>
      </c>
      <c r="D175" s="3">
        <v>4</v>
      </c>
      <c r="E175" s="3">
        <v>4</v>
      </c>
      <c r="F175" s="3">
        <v>9</v>
      </c>
      <c r="G175" s="3">
        <v>7</v>
      </c>
      <c r="H175">
        <f>SUM(B175:G175)</f>
        <v>33</v>
      </c>
      <c r="I175">
        <v>60</v>
      </c>
      <c r="J175" s="10">
        <f>H175/I175</f>
        <v>0.55000000000000004</v>
      </c>
      <c r="K175" s="3"/>
      <c r="L175" s="3"/>
      <c r="M175" s="4"/>
      <c r="P175" s="10"/>
    </row>
    <row r="176" spans="1:16" x14ac:dyDescent="0.2">
      <c r="A176" t="s">
        <v>1</v>
      </c>
      <c r="B176">
        <v>7</v>
      </c>
      <c r="C176">
        <v>1</v>
      </c>
      <c r="D176">
        <v>4</v>
      </c>
      <c r="E176">
        <v>4</v>
      </c>
      <c r="F176">
        <v>4</v>
      </c>
      <c r="G176">
        <v>8</v>
      </c>
      <c r="H176">
        <f t="shared" ref="H176:H184" si="104">SUM(B176:G176)</f>
        <v>28</v>
      </c>
      <c r="I176">
        <v>60</v>
      </c>
      <c r="J176" s="10">
        <f t="shared" ref="J176:J184" si="105">H176/I176</f>
        <v>0.46666666666666667</v>
      </c>
      <c r="M176" s="6"/>
      <c r="P176" s="10"/>
    </row>
    <row r="177" spans="1:16" x14ac:dyDescent="0.2">
      <c r="A177" t="s">
        <v>2</v>
      </c>
      <c r="B177">
        <v>7</v>
      </c>
      <c r="C177">
        <v>3</v>
      </c>
      <c r="D177">
        <v>3</v>
      </c>
      <c r="E177">
        <v>3</v>
      </c>
      <c r="F177">
        <v>5</v>
      </c>
      <c r="G177">
        <v>7</v>
      </c>
      <c r="H177">
        <f t="shared" si="104"/>
        <v>28</v>
      </c>
      <c r="I177">
        <v>60</v>
      </c>
      <c r="J177" s="10">
        <f t="shared" si="105"/>
        <v>0.46666666666666667</v>
      </c>
      <c r="M177" s="6"/>
      <c r="P177" s="10"/>
    </row>
    <row r="178" spans="1:16" x14ac:dyDescent="0.2">
      <c r="A178">
        <v>150</v>
      </c>
      <c r="B178">
        <v>6</v>
      </c>
      <c r="C178">
        <v>0</v>
      </c>
      <c r="D178">
        <v>1</v>
      </c>
      <c r="E178">
        <v>0</v>
      </c>
      <c r="F178">
        <v>2</v>
      </c>
      <c r="G178">
        <v>0</v>
      </c>
      <c r="H178">
        <f t="shared" si="104"/>
        <v>9</v>
      </c>
      <c r="I178">
        <v>36</v>
      </c>
      <c r="J178" s="10">
        <f t="shared" si="105"/>
        <v>0.25</v>
      </c>
      <c r="M178" s="6"/>
      <c r="P178" s="10"/>
    </row>
    <row r="179" spans="1:16" x14ac:dyDescent="0.2">
      <c r="A179">
        <v>250</v>
      </c>
      <c r="B179">
        <v>6</v>
      </c>
      <c r="C179">
        <v>0</v>
      </c>
      <c r="D179">
        <v>0</v>
      </c>
      <c r="E179">
        <v>2</v>
      </c>
      <c r="F179">
        <v>4</v>
      </c>
      <c r="G179">
        <v>4</v>
      </c>
      <c r="H179">
        <f t="shared" si="104"/>
        <v>16</v>
      </c>
      <c r="I179">
        <v>36</v>
      </c>
      <c r="J179" s="10">
        <f t="shared" si="105"/>
        <v>0.44444444444444442</v>
      </c>
      <c r="M179" s="6"/>
      <c r="P179" s="10"/>
    </row>
    <row r="180" spans="1:16" x14ac:dyDescent="0.2">
      <c r="A180">
        <v>500</v>
      </c>
      <c r="B180">
        <v>3</v>
      </c>
      <c r="C180">
        <v>3</v>
      </c>
      <c r="D180">
        <v>3</v>
      </c>
      <c r="E180">
        <v>3</v>
      </c>
      <c r="F180">
        <v>3</v>
      </c>
      <c r="G180">
        <v>6</v>
      </c>
      <c r="H180">
        <f t="shared" si="104"/>
        <v>21</v>
      </c>
      <c r="I180">
        <v>36</v>
      </c>
      <c r="J180" s="10">
        <f t="shared" si="105"/>
        <v>0.58333333333333337</v>
      </c>
      <c r="M180" s="6"/>
      <c r="P180" s="10"/>
    </row>
    <row r="181" spans="1:16" x14ac:dyDescent="0.2">
      <c r="A181">
        <v>750</v>
      </c>
      <c r="B181">
        <v>3</v>
      </c>
      <c r="C181">
        <v>2</v>
      </c>
      <c r="D181">
        <v>3</v>
      </c>
      <c r="E181">
        <v>4</v>
      </c>
      <c r="F181">
        <v>5</v>
      </c>
      <c r="G181">
        <v>6</v>
      </c>
      <c r="H181">
        <f t="shared" si="104"/>
        <v>23</v>
      </c>
      <c r="I181">
        <v>36</v>
      </c>
      <c r="J181" s="10">
        <f t="shared" si="105"/>
        <v>0.63888888888888884</v>
      </c>
      <c r="M181" s="6"/>
      <c r="P181" s="10"/>
    </row>
    <row r="182" spans="1:16" x14ac:dyDescent="0.2">
      <c r="A182">
        <v>1000</v>
      </c>
      <c r="B182">
        <v>2</v>
      </c>
      <c r="C182">
        <v>2</v>
      </c>
      <c r="D182">
        <v>4</v>
      </c>
      <c r="E182">
        <v>2</v>
      </c>
      <c r="F182">
        <v>5</v>
      </c>
      <c r="G182">
        <v>6</v>
      </c>
      <c r="H182">
        <f t="shared" si="104"/>
        <v>21</v>
      </c>
      <c r="I182">
        <v>36</v>
      </c>
      <c r="J182" s="10">
        <f t="shared" si="105"/>
        <v>0.58333333333333337</v>
      </c>
      <c r="M182" s="6"/>
      <c r="P182" s="10"/>
    </row>
    <row r="183" spans="1:16" x14ac:dyDescent="0.2">
      <c r="A183" t="s">
        <v>15</v>
      </c>
      <c r="B183">
        <v>14</v>
      </c>
      <c r="C183">
        <v>0</v>
      </c>
      <c r="D183">
        <v>2</v>
      </c>
      <c r="E183">
        <v>1</v>
      </c>
      <c r="F183">
        <v>5</v>
      </c>
      <c r="G183">
        <v>10</v>
      </c>
      <c r="H183">
        <f t="shared" si="104"/>
        <v>32</v>
      </c>
      <c r="I183">
        <v>90</v>
      </c>
      <c r="J183" s="10">
        <f t="shared" si="105"/>
        <v>0.35555555555555557</v>
      </c>
      <c r="M183" s="6"/>
      <c r="P183" s="10"/>
    </row>
    <row r="184" spans="1:16" ht="17" thickBot="1" x14ac:dyDescent="0.25">
      <c r="A184" t="s">
        <v>16</v>
      </c>
      <c r="B184" s="8">
        <v>6</v>
      </c>
      <c r="C184" s="8">
        <v>7</v>
      </c>
      <c r="D184" s="8">
        <v>9</v>
      </c>
      <c r="E184" s="8">
        <v>10</v>
      </c>
      <c r="F184" s="8">
        <v>14</v>
      </c>
      <c r="G184" s="8">
        <v>12</v>
      </c>
      <c r="H184">
        <f t="shared" si="104"/>
        <v>58</v>
      </c>
      <c r="I184">
        <v>90</v>
      </c>
      <c r="J184" s="10">
        <f t="shared" si="105"/>
        <v>0.64444444444444449</v>
      </c>
      <c r="K184" s="8"/>
      <c r="L184" s="8"/>
      <c r="M184" s="9"/>
      <c r="P184" s="10"/>
    </row>
    <row r="185" spans="1:16" x14ac:dyDescent="0.2">
      <c r="A185" t="s">
        <v>17</v>
      </c>
      <c r="B185">
        <f t="shared" ref="B185" si="106">SUM(B175:B184)</f>
        <v>60</v>
      </c>
      <c r="C185">
        <f t="shared" ref="C185" si="107">SUM(C175:C184)</f>
        <v>21</v>
      </c>
      <c r="D185">
        <f t="shared" ref="D185:G185" si="108">SUM(D175:D184)</f>
        <v>33</v>
      </c>
      <c r="E185">
        <f t="shared" si="108"/>
        <v>33</v>
      </c>
      <c r="F185">
        <f t="shared" si="108"/>
        <v>56</v>
      </c>
      <c r="G185">
        <f t="shared" si="108"/>
        <v>66</v>
      </c>
      <c r="J185" s="13">
        <f>AVERAGE(J175:J184)</f>
        <v>0.49833333333333341</v>
      </c>
    </row>
    <row r="186" spans="1:16" x14ac:dyDescent="0.2">
      <c r="A186" t="s">
        <v>18</v>
      </c>
      <c r="B186">
        <v>90</v>
      </c>
      <c r="C186">
        <v>90</v>
      </c>
      <c r="D186">
        <v>90</v>
      </c>
      <c r="E186">
        <v>90</v>
      </c>
      <c r="F186">
        <v>90</v>
      </c>
      <c r="G186">
        <v>90</v>
      </c>
    </row>
    <row r="187" spans="1:16" x14ac:dyDescent="0.2">
      <c r="A187" t="s">
        <v>19</v>
      </c>
      <c r="B187" s="10">
        <f t="shared" ref="B187" si="109">B185/B186</f>
        <v>0.66666666666666663</v>
      </c>
      <c r="C187" s="10">
        <f t="shared" ref="C187" si="110">C185/C186</f>
        <v>0.23333333333333334</v>
      </c>
      <c r="D187" s="10">
        <f t="shared" ref="D187:G187" si="111">D185/D186</f>
        <v>0.36666666666666664</v>
      </c>
      <c r="E187" s="10">
        <f t="shared" si="111"/>
        <v>0.36666666666666664</v>
      </c>
      <c r="F187" s="10">
        <f t="shared" si="111"/>
        <v>0.62222222222222223</v>
      </c>
      <c r="G187" s="10">
        <f t="shared" si="111"/>
        <v>0.73333333333333328</v>
      </c>
      <c r="H187" s="10"/>
      <c r="I187" s="10"/>
      <c r="J187" s="10"/>
      <c r="K187" s="10"/>
      <c r="L187" s="10"/>
      <c r="M187" s="10"/>
    </row>
    <row r="193" spans="1:15" x14ac:dyDescent="0.2">
      <c r="B193" t="s">
        <v>26</v>
      </c>
    </row>
    <row r="194" spans="1:15" x14ac:dyDescent="0.2">
      <c r="A194" t="s">
        <v>0</v>
      </c>
      <c r="B194">
        <f>SUM(C194:R194)</f>
        <v>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</row>
    <row r="195" spans="1:15" x14ac:dyDescent="0.2">
      <c r="A195" t="s">
        <v>1</v>
      </c>
      <c r="B195">
        <f t="shared" ref="B195:B203" si="112">SUM(C195:R195)</f>
        <v>8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5" x14ac:dyDescent="0.2">
      <c r="A196" t="s">
        <v>2</v>
      </c>
      <c r="B196">
        <f t="shared" si="112"/>
        <v>8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5" x14ac:dyDescent="0.2">
      <c r="A197">
        <v>150</v>
      </c>
      <c r="B197">
        <f t="shared" si="112"/>
        <v>3</v>
      </c>
      <c r="C197">
        <v>1</v>
      </c>
      <c r="D197">
        <v>1</v>
      </c>
      <c r="E197">
        <v>1</v>
      </c>
    </row>
    <row r="198" spans="1:15" x14ac:dyDescent="0.2">
      <c r="A198">
        <v>250</v>
      </c>
      <c r="B198">
        <f t="shared" si="112"/>
        <v>5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15" x14ac:dyDescent="0.2">
      <c r="A199">
        <v>500</v>
      </c>
      <c r="B199">
        <f t="shared" si="112"/>
        <v>5</v>
      </c>
      <c r="C199">
        <v>1</v>
      </c>
      <c r="D199">
        <v>1</v>
      </c>
      <c r="E199">
        <v>1</v>
      </c>
      <c r="F199">
        <v>1</v>
      </c>
      <c r="G199">
        <v>1</v>
      </c>
    </row>
    <row r="200" spans="1:15" x14ac:dyDescent="0.2">
      <c r="A200">
        <v>750</v>
      </c>
      <c r="B200">
        <f t="shared" si="112"/>
        <v>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</row>
    <row r="201" spans="1:15" x14ac:dyDescent="0.2">
      <c r="A201">
        <v>1000</v>
      </c>
      <c r="B201">
        <f t="shared" si="112"/>
        <v>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</row>
    <row r="202" spans="1:15" x14ac:dyDescent="0.2">
      <c r="A202" t="s">
        <v>15</v>
      </c>
      <c r="B202">
        <f t="shared" si="112"/>
        <v>11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</row>
    <row r="203" spans="1:15" x14ac:dyDescent="0.2">
      <c r="A203" t="s">
        <v>16</v>
      </c>
      <c r="B203">
        <f t="shared" si="112"/>
        <v>13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7" spans="1:15" x14ac:dyDescent="0.2">
      <c r="B207" t="s">
        <v>26</v>
      </c>
    </row>
    <row r="208" spans="1:15" x14ac:dyDescent="0.2">
      <c r="A208" t="s">
        <v>0</v>
      </c>
      <c r="B208">
        <v>9</v>
      </c>
      <c r="C208" s="10">
        <f>B208/10</f>
        <v>0.9</v>
      </c>
    </row>
    <row r="209" spans="1:3" x14ac:dyDescent="0.2">
      <c r="A209" t="s">
        <v>1</v>
      </c>
      <c r="B209">
        <v>8</v>
      </c>
      <c r="C209" s="10">
        <f>B209/10</f>
        <v>0.8</v>
      </c>
    </row>
    <row r="210" spans="1:3" x14ac:dyDescent="0.2">
      <c r="A210" t="s">
        <v>2</v>
      </c>
      <c r="B210">
        <v>8</v>
      </c>
      <c r="C210" s="10">
        <f>B210/10</f>
        <v>0.8</v>
      </c>
    </row>
    <row r="211" spans="1:3" x14ac:dyDescent="0.2">
      <c r="A211">
        <v>150</v>
      </c>
      <c r="B211">
        <v>3</v>
      </c>
      <c r="C211" s="10">
        <f>B211/6</f>
        <v>0.5</v>
      </c>
    </row>
    <row r="212" spans="1:3" x14ac:dyDescent="0.2">
      <c r="A212">
        <v>250</v>
      </c>
      <c r="B212">
        <v>5</v>
      </c>
      <c r="C212" s="10">
        <f>B212/6</f>
        <v>0.83333333333333337</v>
      </c>
    </row>
    <row r="213" spans="1:3" x14ac:dyDescent="0.2">
      <c r="A213">
        <v>500</v>
      </c>
      <c r="B213">
        <v>5</v>
      </c>
      <c r="C213" s="10">
        <f>B213/6</f>
        <v>0.83333333333333337</v>
      </c>
    </row>
    <row r="214" spans="1:3" x14ac:dyDescent="0.2">
      <c r="A214">
        <v>750</v>
      </c>
      <c r="B214">
        <v>6</v>
      </c>
      <c r="C214" s="10">
        <f>B214/6</f>
        <v>1</v>
      </c>
    </row>
    <row r="215" spans="1:3" x14ac:dyDescent="0.2">
      <c r="A215">
        <v>1000</v>
      </c>
      <c r="B215">
        <v>6</v>
      </c>
      <c r="C215" s="10">
        <f>B215/6</f>
        <v>1</v>
      </c>
    </row>
    <row r="216" spans="1:3" x14ac:dyDescent="0.2">
      <c r="A216" t="s">
        <v>15</v>
      </c>
      <c r="B216">
        <v>11</v>
      </c>
    </row>
    <row r="217" spans="1:3" x14ac:dyDescent="0.2">
      <c r="A217" t="s">
        <v>16</v>
      </c>
      <c r="B21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9901-9E05-F44F-A20A-6C1D84DDBE40}">
  <dimension ref="A1:F31"/>
  <sheetViews>
    <sheetView tabSelected="1" topLeftCell="A7" workbookViewId="0">
      <selection activeCell="E1" sqref="E1"/>
    </sheetView>
  </sheetViews>
  <sheetFormatPr baseColWidth="10" defaultRowHeight="16" x14ac:dyDescent="0.2"/>
  <cols>
    <col min="1" max="2" width="42.83203125" customWidth="1"/>
    <col min="3" max="3" width="12" customWidth="1"/>
    <col min="4" max="4" width="50.33203125" style="14" customWidth="1"/>
    <col min="5" max="5" width="16" customWidth="1"/>
    <col min="6" max="6" width="38" customWidth="1"/>
  </cols>
  <sheetData>
    <row r="1" spans="1:6" ht="17" x14ac:dyDescent="0.2">
      <c r="A1" t="s">
        <v>27</v>
      </c>
      <c r="B1" t="s">
        <v>28</v>
      </c>
      <c r="C1" t="s">
        <v>30</v>
      </c>
      <c r="D1" s="14" t="s">
        <v>29</v>
      </c>
      <c r="E1" t="s">
        <v>31</v>
      </c>
      <c r="F1" t="s">
        <v>41</v>
      </c>
    </row>
    <row r="2" spans="1:6" ht="51" x14ac:dyDescent="0.2">
      <c r="A2" t="s">
        <v>32</v>
      </c>
      <c r="B2" t="s">
        <v>33</v>
      </c>
      <c r="C2" t="s">
        <v>40</v>
      </c>
      <c r="D2" s="14" t="s">
        <v>125</v>
      </c>
      <c r="E2">
        <v>9600</v>
      </c>
      <c r="F2" t="s">
        <v>45</v>
      </c>
    </row>
    <row r="3" spans="1:6" ht="51" x14ac:dyDescent="0.2">
      <c r="A3" t="s">
        <v>32</v>
      </c>
      <c r="B3" t="s">
        <v>34</v>
      </c>
      <c r="C3" t="s">
        <v>40</v>
      </c>
      <c r="D3" s="14" t="s">
        <v>125</v>
      </c>
      <c r="E3">
        <v>10500</v>
      </c>
      <c r="F3" t="s">
        <v>46</v>
      </c>
    </row>
    <row r="4" spans="1:6" ht="51" x14ac:dyDescent="0.2">
      <c r="A4" t="s">
        <v>35</v>
      </c>
      <c r="B4" t="s">
        <v>36</v>
      </c>
      <c r="C4" t="s">
        <v>40</v>
      </c>
      <c r="D4" s="14" t="s">
        <v>129</v>
      </c>
      <c r="E4">
        <v>10750</v>
      </c>
      <c r="F4" t="s">
        <v>43</v>
      </c>
    </row>
    <row r="5" spans="1:6" ht="51" x14ac:dyDescent="0.2">
      <c r="A5" t="s">
        <v>35</v>
      </c>
      <c r="B5" t="s">
        <v>37</v>
      </c>
      <c r="C5" t="s">
        <v>40</v>
      </c>
      <c r="D5" s="14" t="s">
        <v>129</v>
      </c>
      <c r="E5">
        <v>8200</v>
      </c>
      <c r="F5" t="s">
        <v>44</v>
      </c>
    </row>
    <row r="6" spans="1:6" ht="68" x14ac:dyDescent="0.2">
      <c r="A6" t="s">
        <v>38</v>
      </c>
      <c r="B6" t="s">
        <v>39</v>
      </c>
      <c r="C6" t="s">
        <v>40</v>
      </c>
      <c r="D6" s="14" t="s">
        <v>118</v>
      </c>
      <c r="E6">
        <v>7750</v>
      </c>
      <c r="F6" t="s">
        <v>42</v>
      </c>
    </row>
    <row r="7" spans="1:6" ht="34" x14ac:dyDescent="0.2">
      <c r="A7" t="s">
        <v>49</v>
      </c>
      <c r="B7" t="s">
        <v>50</v>
      </c>
      <c r="C7" t="s">
        <v>51</v>
      </c>
      <c r="D7" s="14" t="s">
        <v>47</v>
      </c>
      <c r="E7">
        <v>6200</v>
      </c>
      <c r="F7" t="s">
        <v>48</v>
      </c>
    </row>
    <row r="8" spans="1:6" ht="51" x14ac:dyDescent="0.2">
      <c r="A8" t="s">
        <v>52</v>
      </c>
      <c r="B8" t="s">
        <v>53</v>
      </c>
      <c r="C8" t="s">
        <v>54</v>
      </c>
      <c r="D8" s="14" t="s">
        <v>122</v>
      </c>
      <c r="E8">
        <v>6550</v>
      </c>
      <c r="F8" t="s">
        <v>55</v>
      </c>
    </row>
    <row r="9" spans="1:6" ht="51" x14ac:dyDescent="0.2">
      <c r="A9" t="s">
        <v>58</v>
      </c>
      <c r="B9" t="s">
        <v>59</v>
      </c>
      <c r="C9" t="s">
        <v>57</v>
      </c>
      <c r="D9" s="14" t="s">
        <v>133</v>
      </c>
      <c r="E9">
        <v>15000</v>
      </c>
      <c r="F9" t="s">
        <v>56</v>
      </c>
    </row>
    <row r="10" spans="1:6" ht="51" x14ac:dyDescent="0.2">
      <c r="A10" t="s">
        <v>62</v>
      </c>
      <c r="B10" t="s">
        <v>60</v>
      </c>
      <c r="C10" t="s">
        <v>61</v>
      </c>
      <c r="D10" s="14" t="s">
        <v>127</v>
      </c>
      <c r="E10">
        <v>5000</v>
      </c>
      <c r="F10" t="s">
        <v>56</v>
      </c>
    </row>
    <row r="11" spans="1:6" ht="34" x14ac:dyDescent="0.2">
      <c r="A11" t="s">
        <v>65</v>
      </c>
      <c r="B11" t="s">
        <v>63</v>
      </c>
      <c r="C11" t="s">
        <v>64</v>
      </c>
      <c r="D11" s="14" t="s">
        <v>128</v>
      </c>
      <c r="E11">
        <v>14750</v>
      </c>
      <c r="F11" t="s">
        <v>66</v>
      </c>
    </row>
    <row r="12" spans="1:6" ht="17" x14ac:dyDescent="0.2">
      <c r="A12" t="s">
        <v>49</v>
      </c>
      <c r="B12" t="s">
        <v>67</v>
      </c>
      <c r="C12" t="s">
        <v>51</v>
      </c>
      <c r="D12" s="14" t="s">
        <v>132</v>
      </c>
      <c r="E12">
        <v>13600</v>
      </c>
      <c r="F12" t="s">
        <v>68</v>
      </c>
    </row>
    <row r="13" spans="1:6" ht="17" x14ac:dyDescent="0.2">
      <c r="A13" t="s">
        <v>49</v>
      </c>
      <c r="B13" t="s">
        <v>69</v>
      </c>
      <c r="C13" t="s">
        <v>71</v>
      </c>
      <c r="D13" s="14" t="s">
        <v>70</v>
      </c>
      <c r="E13">
        <v>18200</v>
      </c>
      <c r="F13" t="s">
        <v>72</v>
      </c>
    </row>
    <row r="14" spans="1:6" ht="34" x14ac:dyDescent="0.2">
      <c r="A14" t="s">
        <v>75</v>
      </c>
      <c r="B14" t="s">
        <v>74</v>
      </c>
      <c r="C14" t="s">
        <v>84</v>
      </c>
      <c r="D14" s="14" t="s">
        <v>126</v>
      </c>
      <c r="E14">
        <v>9200</v>
      </c>
      <c r="F14" t="s">
        <v>73</v>
      </c>
    </row>
    <row r="15" spans="1:6" ht="85" x14ac:dyDescent="0.2">
      <c r="A15" t="s">
        <v>76</v>
      </c>
      <c r="B15" t="s">
        <v>116</v>
      </c>
      <c r="C15" t="s">
        <v>135</v>
      </c>
      <c r="D15" s="14" t="s">
        <v>130</v>
      </c>
      <c r="E15">
        <v>5700</v>
      </c>
      <c r="F15" t="s">
        <v>77</v>
      </c>
    </row>
    <row r="16" spans="1:6" ht="68" x14ac:dyDescent="0.2">
      <c r="A16" t="s">
        <v>79</v>
      </c>
      <c r="B16" t="s">
        <v>81</v>
      </c>
      <c r="C16" t="s">
        <v>80</v>
      </c>
      <c r="D16" s="14" t="s">
        <v>119</v>
      </c>
      <c r="E16">
        <v>6200</v>
      </c>
      <c r="F16" t="s">
        <v>78</v>
      </c>
    </row>
    <row r="17" spans="1:6" ht="51" x14ac:dyDescent="0.2">
      <c r="A17" t="s">
        <v>82</v>
      </c>
      <c r="B17" t="s">
        <v>113</v>
      </c>
      <c r="C17" t="s">
        <v>80</v>
      </c>
      <c r="D17" s="14" t="s">
        <v>117</v>
      </c>
      <c r="E17">
        <v>5600</v>
      </c>
      <c r="F17" t="s">
        <v>83</v>
      </c>
    </row>
    <row r="18" spans="1:6" ht="17" x14ac:dyDescent="0.2">
      <c r="A18" t="s">
        <v>85</v>
      </c>
      <c r="B18" t="s">
        <v>86</v>
      </c>
      <c r="C18" t="s">
        <v>87</v>
      </c>
      <c r="D18" s="14" t="s">
        <v>124</v>
      </c>
      <c r="E18">
        <v>7600</v>
      </c>
      <c r="F18" t="s">
        <v>88</v>
      </c>
    </row>
    <row r="19" spans="1:6" ht="68" x14ac:dyDescent="0.2">
      <c r="A19" t="s">
        <v>89</v>
      </c>
      <c r="B19" t="s">
        <v>90</v>
      </c>
      <c r="C19" t="s">
        <v>87</v>
      </c>
      <c r="D19" s="14" t="s">
        <v>131</v>
      </c>
      <c r="E19">
        <v>26500</v>
      </c>
      <c r="F19" t="s">
        <v>91</v>
      </c>
    </row>
    <row r="20" spans="1:6" ht="68" x14ac:dyDescent="0.2">
      <c r="A20" t="s">
        <v>89</v>
      </c>
      <c r="B20" t="s">
        <v>93</v>
      </c>
      <c r="C20" t="s">
        <v>87</v>
      </c>
      <c r="D20" s="14" t="s">
        <v>131</v>
      </c>
      <c r="E20">
        <v>20500</v>
      </c>
      <c r="F20" t="s">
        <v>92</v>
      </c>
    </row>
    <row r="21" spans="1:6" ht="51" x14ac:dyDescent="0.2">
      <c r="A21" t="s">
        <v>109</v>
      </c>
      <c r="B21" t="s">
        <v>94</v>
      </c>
      <c r="C21" t="s">
        <v>87</v>
      </c>
      <c r="D21" s="14" t="s">
        <v>134</v>
      </c>
      <c r="E21">
        <v>4200</v>
      </c>
      <c r="F21" t="s">
        <v>95</v>
      </c>
    </row>
    <row r="22" spans="1:6" ht="34" x14ac:dyDescent="0.2">
      <c r="A22" t="s">
        <v>96</v>
      </c>
      <c r="B22" t="s">
        <v>114</v>
      </c>
      <c r="C22" t="s">
        <v>80</v>
      </c>
      <c r="D22" s="14" t="s">
        <v>120</v>
      </c>
      <c r="E22">
        <v>5900</v>
      </c>
      <c r="F22" t="s">
        <v>100</v>
      </c>
    </row>
    <row r="23" spans="1:6" ht="68" x14ac:dyDescent="0.2">
      <c r="A23" t="s">
        <v>96</v>
      </c>
      <c r="B23" t="s">
        <v>98</v>
      </c>
      <c r="C23" t="s">
        <v>80</v>
      </c>
      <c r="D23" s="14" t="s">
        <v>121</v>
      </c>
      <c r="E23">
        <v>6000</v>
      </c>
      <c r="F23" t="s">
        <v>99</v>
      </c>
    </row>
    <row r="24" spans="1:6" ht="51" x14ac:dyDescent="0.2">
      <c r="A24" t="s">
        <v>101</v>
      </c>
      <c r="B24" t="s">
        <v>102</v>
      </c>
      <c r="C24" t="s">
        <v>103</v>
      </c>
      <c r="D24" s="14" t="s">
        <v>123</v>
      </c>
      <c r="E24">
        <v>4500</v>
      </c>
      <c r="F24" t="s">
        <v>104</v>
      </c>
    </row>
    <row r="25" spans="1:6" ht="34" x14ac:dyDescent="0.2">
      <c r="A25" t="s">
        <v>105</v>
      </c>
      <c r="B25" t="s">
        <v>115</v>
      </c>
      <c r="C25" t="s">
        <v>80</v>
      </c>
      <c r="D25" s="14" t="s">
        <v>136</v>
      </c>
      <c r="E25">
        <v>1900</v>
      </c>
      <c r="F25" t="s">
        <v>106</v>
      </c>
    </row>
    <row r="26" spans="1:6" ht="187" x14ac:dyDescent="0.2">
      <c r="A26" t="s">
        <v>107</v>
      </c>
      <c r="B26" t="s">
        <v>112</v>
      </c>
      <c r="C26" t="s">
        <v>54</v>
      </c>
      <c r="D26" s="14" t="s">
        <v>138</v>
      </c>
      <c r="E26">
        <v>6200</v>
      </c>
      <c r="F26" t="s">
        <v>110</v>
      </c>
    </row>
    <row r="27" spans="1:6" ht="51" x14ac:dyDescent="0.2">
      <c r="A27" t="s">
        <v>108</v>
      </c>
      <c r="B27" t="s">
        <v>97</v>
      </c>
      <c r="C27" t="s">
        <v>54</v>
      </c>
      <c r="D27" s="15" t="s">
        <v>137</v>
      </c>
      <c r="E27">
        <v>6500</v>
      </c>
      <c r="F27" t="s">
        <v>111</v>
      </c>
    </row>
    <row r="31" spans="1:6" x14ac:dyDescent="0.2">
      <c r="A31">
        <v>21</v>
      </c>
      <c r="B31">
        <v>53</v>
      </c>
      <c r="E31">
        <f>SUM(E2:E27)</f>
        <v>242600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05F6-2C0D-8B43-9069-415DFDC61347}">
  <dimension ref="A1:Q21"/>
  <sheetViews>
    <sheetView topLeftCell="A18" zoomScale="120" zoomScaleNormal="120" workbookViewId="0">
      <selection activeCell="O19" sqref="O19"/>
    </sheetView>
  </sheetViews>
  <sheetFormatPr baseColWidth="10" defaultRowHeight="16" x14ac:dyDescent="0.2"/>
  <sheetData>
    <row r="1" spans="1:17" ht="17" thickBot="1" x14ac:dyDescent="0.25">
      <c r="B1" t="s">
        <v>3</v>
      </c>
      <c r="C1" t="s">
        <v>4</v>
      </c>
      <c r="D1" s="1" t="s">
        <v>5</v>
      </c>
      <c r="E1" t="s">
        <v>6</v>
      </c>
      <c r="F1" t="s">
        <v>13</v>
      </c>
      <c r="G1" s="1" t="s">
        <v>14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17</v>
      </c>
      <c r="O1" t="s">
        <v>18</v>
      </c>
      <c r="P1" t="s">
        <v>19</v>
      </c>
    </row>
    <row r="2" spans="1:17" x14ac:dyDescent="0.2">
      <c r="A2" t="s">
        <v>0</v>
      </c>
      <c r="B2" s="2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/>
      <c r="I2" s="3">
        <v>1</v>
      </c>
      <c r="J2" s="3">
        <v>1</v>
      </c>
      <c r="K2" s="3">
        <v>1</v>
      </c>
      <c r="L2" s="3">
        <v>1</v>
      </c>
      <c r="M2" s="4">
        <v>1</v>
      </c>
      <c r="N2">
        <f>SUM(B2:M2)</f>
        <v>11</v>
      </c>
      <c r="O2">
        <v>12</v>
      </c>
      <c r="P2" s="10">
        <f>N2/O2</f>
        <v>0.91666666666666663</v>
      </c>
      <c r="Q2" t="s">
        <v>20</v>
      </c>
    </row>
    <row r="3" spans="1:17" x14ac:dyDescent="0.2">
      <c r="A3" t="s">
        <v>1</v>
      </c>
      <c r="B3" s="5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2</v>
      </c>
      <c r="M3" s="6">
        <v>2</v>
      </c>
      <c r="N3">
        <f t="shared" ref="N3:N6" si="0">SUM(B3:M3)</f>
        <v>20</v>
      </c>
      <c r="O3">
        <v>24</v>
      </c>
      <c r="P3" s="10">
        <f t="shared" ref="P3:P6" si="1">N3/O3</f>
        <v>0.83333333333333337</v>
      </c>
    </row>
    <row r="4" spans="1:17" x14ac:dyDescent="0.2">
      <c r="A4" t="s">
        <v>2</v>
      </c>
      <c r="B4" s="5">
        <v>2</v>
      </c>
      <c r="C4">
        <v>2</v>
      </c>
      <c r="D4">
        <v>1</v>
      </c>
      <c r="E4">
        <v>1</v>
      </c>
      <c r="F4">
        <v>1</v>
      </c>
      <c r="G4">
        <v>2</v>
      </c>
      <c r="I4">
        <v>1</v>
      </c>
      <c r="J4">
        <v>1</v>
      </c>
      <c r="K4">
        <v>2</v>
      </c>
      <c r="L4">
        <v>2</v>
      </c>
      <c r="M4" s="6">
        <v>2</v>
      </c>
      <c r="N4">
        <f t="shared" si="0"/>
        <v>17</v>
      </c>
      <c r="O4">
        <v>24</v>
      </c>
      <c r="P4" s="10">
        <f t="shared" si="1"/>
        <v>0.70833333333333337</v>
      </c>
    </row>
    <row r="5" spans="1:17" x14ac:dyDescent="0.2">
      <c r="A5" t="s">
        <v>15</v>
      </c>
      <c r="B5" s="5">
        <v>2</v>
      </c>
      <c r="C5">
        <v>3</v>
      </c>
      <c r="D5">
        <v>3</v>
      </c>
      <c r="E5">
        <v>2</v>
      </c>
      <c r="F5">
        <v>2</v>
      </c>
      <c r="G5">
        <v>3</v>
      </c>
      <c r="I5">
        <v>1</v>
      </c>
      <c r="J5">
        <v>1</v>
      </c>
      <c r="K5">
        <v>3</v>
      </c>
      <c r="L5">
        <v>3</v>
      </c>
      <c r="M5" s="6">
        <v>3</v>
      </c>
      <c r="N5">
        <f t="shared" si="0"/>
        <v>26</v>
      </c>
      <c r="O5">
        <v>36</v>
      </c>
      <c r="P5" s="10">
        <f t="shared" si="1"/>
        <v>0.72222222222222221</v>
      </c>
    </row>
    <row r="6" spans="1:17" ht="17" thickBot="1" x14ac:dyDescent="0.25">
      <c r="A6" t="s">
        <v>16</v>
      </c>
      <c r="B6" s="7">
        <f>SUM(B2:B4)-B5</f>
        <v>2</v>
      </c>
      <c r="C6" s="8">
        <f t="shared" ref="C6:M6" si="2">SUM(C2:C4)-C5</f>
        <v>2</v>
      </c>
      <c r="D6" s="8">
        <f t="shared" si="2"/>
        <v>1</v>
      </c>
      <c r="E6" s="8">
        <f t="shared" si="2"/>
        <v>2</v>
      </c>
      <c r="F6" s="8">
        <f t="shared" si="2"/>
        <v>2</v>
      </c>
      <c r="G6" s="8">
        <f t="shared" si="2"/>
        <v>2</v>
      </c>
      <c r="H6" s="8">
        <f t="shared" si="2"/>
        <v>1</v>
      </c>
      <c r="I6" s="8">
        <f t="shared" si="2"/>
        <v>2</v>
      </c>
      <c r="J6" s="8">
        <f t="shared" si="2"/>
        <v>2</v>
      </c>
      <c r="K6" s="8">
        <f t="shared" si="2"/>
        <v>2</v>
      </c>
      <c r="L6" s="8">
        <f t="shared" si="2"/>
        <v>2</v>
      </c>
      <c r="M6" s="9">
        <f t="shared" si="2"/>
        <v>2</v>
      </c>
      <c r="N6">
        <f t="shared" si="0"/>
        <v>22</v>
      </c>
      <c r="O6">
        <v>24</v>
      </c>
      <c r="P6" s="10">
        <f t="shared" si="1"/>
        <v>0.91666666666666663</v>
      </c>
    </row>
    <row r="7" spans="1:17" x14ac:dyDescent="0.2">
      <c r="A7" t="s">
        <v>17</v>
      </c>
      <c r="B7">
        <f>SUM(B2:B6)</f>
        <v>8</v>
      </c>
      <c r="C7">
        <f t="shared" ref="C7:M7" si="3">SUM(C2:C6)</f>
        <v>10</v>
      </c>
      <c r="D7">
        <f t="shared" si="3"/>
        <v>8</v>
      </c>
      <c r="E7">
        <f t="shared" si="3"/>
        <v>8</v>
      </c>
      <c r="F7">
        <f t="shared" si="3"/>
        <v>8</v>
      </c>
      <c r="G7">
        <f t="shared" si="3"/>
        <v>10</v>
      </c>
      <c r="H7">
        <f t="shared" si="3"/>
        <v>2</v>
      </c>
      <c r="I7">
        <f t="shared" si="3"/>
        <v>6</v>
      </c>
      <c r="J7">
        <f t="shared" si="3"/>
        <v>6</v>
      </c>
      <c r="K7">
        <f t="shared" si="3"/>
        <v>10</v>
      </c>
      <c r="L7">
        <f t="shared" si="3"/>
        <v>10</v>
      </c>
      <c r="M7">
        <f t="shared" si="3"/>
        <v>10</v>
      </c>
    </row>
    <row r="8" spans="1:17" x14ac:dyDescent="0.2">
      <c r="A8" t="s">
        <v>18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</row>
    <row r="9" spans="1:17" x14ac:dyDescent="0.2">
      <c r="A9" t="s">
        <v>19</v>
      </c>
      <c r="B9" s="10">
        <f>B7/B8</f>
        <v>0.8</v>
      </c>
      <c r="C9" s="10">
        <f t="shared" ref="C9:M9" si="4">C7/C8</f>
        <v>1</v>
      </c>
      <c r="D9" s="10">
        <f t="shared" si="4"/>
        <v>0.8</v>
      </c>
      <c r="E9" s="10">
        <f t="shared" si="4"/>
        <v>0.8</v>
      </c>
      <c r="F9" s="10">
        <f t="shared" si="4"/>
        <v>0.8</v>
      </c>
      <c r="G9" s="10">
        <f t="shared" si="4"/>
        <v>1</v>
      </c>
      <c r="H9" s="10">
        <f t="shared" si="4"/>
        <v>0.2</v>
      </c>
      <c r="I9" s="10">
        <f t="shared" si="4"/>
        <v>0.6</v>
      </c>
      <c r="J9" s="10">
        <f t="shared" si="4"/>
        <v>0.6</v>
      </c>
      <c r="K9" s="10">
        <f t="shared" si="4"/>
        <v>1</v>
      </c>
      <c r="L9" s="10">
        <f t="shared" si="4"/>
        <v>1</v>
      </c>
      <c r="M9" s="10">
        <f t="shared" si="4"/>
        <v>1</v>
      </c>
    </row>
    <row r="13" spans="1:17" ht="17" thickBot="1" x14ac:dyDescent="0.25">
      <c r="B13" t="s">
        <v>3</v>
      </c>
      <c r="C13" t="s">
        <v>4</v>
      </c>
      <c r="D13" s="1" t="s">
        <v>5</v>
      </c>
      <c r="E13" t="s">
        <v>6</v>
      </c>
      <c r="F13" t="s">
        <v>13</v>
      </c>
      <c r="G13" s="1" t="s">
        <v>14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s="1" t="s">
        <v>12</v>
      </c>
      <c r="N13" s="1" t="s">
        <v>17</v>
      </c>
      <c r="O13" t="s">
        <v>18</v>
      </c>
      <c r="P13" t="s">
        <v>19</v>
      </c>
    </row>
    <row r="14" spans="1:17" x14ac:dyDescent="0.2">
      <c r="A14" t="s">
        <v>0</v>
      </c>
      <c r="B14" s="2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/>
      <c r="I14" s="3">
        <v>1</v>
      </c>
      <c r="J14" s="3">
        <v>1</v>
      </c>
      <c r="K14" s="3">
        <v>1</v>
      </c>
      <c r="L14" s="3">
        <v>1</v>
      </c>
      <c r="M14" s="4">
        <v>1</v>
      </c>
      <c r="N14">
        <f>SUM(B14:M14)</f>
        <v>11</v>
      </c>
      <c r="O14">
        <v>12</v>
      </c>
      <c r="P14" s="10">
        <f>N14/O14</f>
        <v>0.91666666666666663</v>
      </c>
    </row>
    <row r="15" spans="1:17" x14ac:dyDescent="0.2">
      <c r="A15" t="s">
        <v>1</v>
      </c>
      <c r="B15" s="5"/>
      <c r="C15">
        <v>1</v>
      </c>
      <c r="D15">
        <v>1</v>
      </c>
      <c r="E15">
        <v>1</v>
      </c>
      <c r="F15">
        <v>1</v>
      </c>
      <c r="G15">
        <v>1</v>
      </c>
      <c r="K15">
        <v>1</v>
      </c>
      <c r="L15">
        <v>1</v>
      </c>
      <c r="M15" s="6">
        <v>1</v>
      </c>
      <c r="N15">
        <f t="shared" ref="N15:N18" si="5">SUM(B15:M15)</f>
        <v>8</v>
      </c>
      <c r="O15">
        <v>12</v>
      </c>
      <c r="P15" s="10">
        <f t="shared" ref="P15:P18" si="6">N15/O15</f>
        <v>0.66666666666666663</v>
      </c>
    </row>
    <row r="16" spans="1:17" x14ac:dyDescent="0.2">
      <c r="A16" t="s">
        <v>2</v>
      </c>
      <c r="B16" s="5">
        <v>2</v>
      </c>
      <c r="C16">
        <v>2</v>
      </c>
      <c r="D16">
        <v>1</v>
      </c>
      <c r="E16">
        <v>1</v>
      </c>
      <c r="F16">
        <v>1</v>
      </c>
      <c r="G16">
        <v>2</v>
      </c>
      <c r="I16">
        <v>1</v>
      </c>
      <c r="J16">
        <v>1</v>
      </c>
      <c r="K16">
        <v>2</v>
      </c>
      <c r="L16">
        <v>2</v>
      </c>
      <c r="M16" s="6">
        <v>2</v>
      </c>
      <c r="N16">
        <f t="shared" si="5"/>
        <v>17</v>
      </c>
      <c r="O16">
        <v>24</v>
      </c>
      <c r="P16" s="10">
        <f t="shared" si="6"/>
        <v>0.70833333333333337</v>
      </c>
    </row>
    <row r="17" spans="1:16" x14ac:dyDescent="0.2">
      <c r="A17" t="s">
        <v>15</v>
      </c>
      <c r="B17" s="5">
        <v>2</v>
      </c>
      <c r="C17">
        <v>3</v>
      </c>
      <c r="D17">
        <v>3</v>
      </c>
      <c r="E17">
        <v>2</v>
      </c>
      <c r="F17">
        <v>2</v>
      </c>
      <c r="G17">
        <v>3</v>
      </c>
      <c r="I17">
        <v>1</v>
      </c>
      <c r="J17">
        <v>1</v>
      </c>
      <c r="K17">
        <v>3</v>
      </c>
      <c r="L17">
        <v>3</v>
      </c>
      <c r="M17" s="6">
        <v>3</v>
      </c>
      <c r="N17">
        <f t="shared" si="5"/>
        <v>26</v>
      </c>
      <c r="O17">
        <v>36</v>
      </c>
      <c r="P17" s="10">
        <f t="shared" si="6"/>
        <v>0.72222222222222221</v>
      </c>
    </row>
    <row r="18" spans="1:16" ht="17" thickBot="1" x14ac:dyDescent="0.25">
      <c r="A18" t="s">
        <v>16</v>
      </c>
      <c r="B18" s="7">
        <f>SUM(B14:B16)-B17</f>
        <v>1</v>
      </c>
      <c r="C18" s="8">
        <f t="shared" ref="C18" si="7">SUM(C14:C16)-C17</f>
        <v>1</v>
      </c>
      <c r="D18" s="8">
        <f t="shared" ref="D18" si="8">SUM(D14:D16)-D17</f>
        <v>0</v>
      </c>
      <c r="E18" s="8">
        <f t="shared" ref="E18" si="9">SUM(E14:E16)-E17</f>
        <v>1</v>
      </c>
      <c r="F18" s="8">
        <f t="shared" ref="F18" si="10">SUM(F14:F16)-F17</f>
        <v>1</v>
      </c>
      <c r="G18" s="8">
        <f t="shared" ref="G18" si="11">SUM(G14:G16)-G17</f>
        <v>1</v>
      </c>
      <c r="H18" s="8">
        <f t="shared" ref="H18" si="12">SUM(H14:H16)-H17</f>
        <v>0</v>
      </c>
      <c r="I18" s="8">
        <f t="shared" ref="I18" si="13">SUM(I14:I16)-I17</f>
        <v>1</v>
      </c>
      <c r="J18" s="8">
        <f t="shared" ref="J18" si="14">SUM(J14:J16)-J17</f>
        <v>1</v>
      </c>
      <c r="K18" s="8">
        <f t="shared" ref="K18" si="15">SUM(K14:K16)-K17</f>
        <v>1</v>
      </c>
      <c r="L18" s="8">
        <f t="shared" ref="L18" si="16">SUM(L14:L16)-L17</f>
        <v>1</v>
      </c>
      <c r="M18" s="9">
        <f t="shared" ref="M18" si="17">SUM(M14:M16)-M17</f>
        <v>1</v>
      </c>
      <c r="N18">
        <f t="shared" si="5"/>
        <v>10</v>
      </c>
      <c r="O18">
        <v>12</v>
      </c>
      <c r="P18" s="10">
        <f t="shared" si="6"/>
        <v>0.83333333333333337</v>
      </c>
    </row>
    <row r="19" spans="1:16" x14ac:dyDescent="0.2">
      <c r="A19" t="s">
        <v>17</v>
      </c>
      <c r="B19">
        <f>SUM(B14:B18)</f>
        <v>6</v>
      </c>
      <c r="C19">
        <f t="shared" ref="C19" si="18">SUM(C14:C18)</f>
        <v>8</v>
      </c>
      <c r="D19">
        <f t="shared" ref="D19" si="19">SUM(D14:D18)</f>
        <v>6</v>
      </c>
      <c r="E19">
        <f t="shared" ref="E19" si="20">SUM(E14:E18)</f>
        <v>6</v>
      </c>
      <c r="F19">
        <f t="shared" ref="F19" si="21">SUM(F14:F18)</f>
        <v>6</v>
      </c>
      <c r="G19">
        <f t="shared" ref="G19" si="22">SUM(G14:G18)</f>
        <v>8</v>
      </c>
      <c r="H19">
        <f t="shared" ref="H19" si="23">SUM(H14:H18)</f>
        <v>0</v>
      </c>
      <c r="I19">
        <f t="shared" ref="I19" si="24">SUM(I14:I18)</f>
        <v>4</v>
      </c>
      <c r="J19">
        <f t="shared" ref="J19" si="25">SUM(J14:J18)</f>
        <v>4</v>
      </c>
      <c r="K19">
        <f t="shared" ref="K19" si="26">SUM(K14:K18)</f>
        <v>8</v>
      </c>
      <c r="L19">
        <f t="shared" ref="L19" si="27">SUM(L14:L18)</f>
        <v>8</v>
      </c>
      <c r="M19">
        <f t="shared" ref="M19" si="28">SUM(M14:M18)</f>
        <v>8</v>
      </c>
    </row>
    <row r="20" spans="1:16" x14ac:dyDescent="0.2">
      <c r="A20" t="s">
        <v>18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  <c r="M20">
        <v>8</v>
      </c>
    </row>
    <row r="21" spans="1:16" x14ac:dyDescent="0.2">
      <c r="A21" t="s">
        <v>19</v>
      </c>
      <c r="B21" s="10">
        <f>B19/B20</f>
        <v>0.75</v>
      </c>
      <c r="C21" s="10">
        <f t="shared" ref="C21" si="29">C19/C20</f>
        <v>1</v>
      </c>
      <c r="D21" s="10">
        <f t="shared" ref="D21" si="30">D19/D20</f>
        <v>0.75</v>
      </c>
      <c r="E21" s="10">
        <f t="shared" ref="E21" si="31">E19/E20</f>
        <v>0.75</v>
      </c>
      <c r="F21" s="10">
        <f t="shared" ref="F21" si="32">F19/F20</f>
        <v>0.75</v>
      </c>
      <c r="G21" s="10">
        <f t="shared" ref="G21" si="33">G19/G20</f>
        <v>1</v>
      </c>
      <c r="H21" s="10">
        <f t="shared" ref="H21" si="34">H19/H20</f>
        <v>0</v>
      </c>
      <c r="I21" s="10">
        <f t="shared" ref="I21" si="35">I19/I20</f>
        <v>0.5</v>
      </c>
      <c r="J21" s="10">
        <f t="shared" ref="J21" si="36">J19/J20</f>
        <v>0.5</v>
      </c>
      <c r="K21" s="10">
        <f t="shared" ref="K21" si="37">K19/K20</f>
        <v>1</v>
      </c>
      <c r="L21" s="10">
        <f t="shared" ref="L21" si="38">L19/L20</f>
        <v>1</v>
      </c>
      <c r="M21" s="10">
        <f t="shared" ref="M21" si="39">M19/M20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Cluster Analysis</vt:lpstr>
      <vt:lpstr>Лист3</vt:lpstr>
      <vt:lpstr>Consensus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Эльга Канаева</dc:creator>
  <cp:lastModifiedBy>Эльга Канаева</cp:lastModifiedBy>
  <dcterms:created xsi:type="dcterms:W3CDTF">2025-12-28T09:39:53Z</dcterms:created>
  <dcterms:modified xsi:type="dcterms:W3CDTF">2026-01-09T03:35:15Z</dcterms:modified>
</cp:coreProperties>
</file>